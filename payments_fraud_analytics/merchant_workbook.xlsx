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chants" sheetId="1" state="visible" r:id="rId3"/>
    <sheet name="fee_tiers" sheetId="2" state="visible" r:id="rId4"/>
    <sheet name="transactions_view" sheetId="3" state="visible" r:id="rId5"/>
    <sheet name="pivot_summary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<sst xmlns="http://schemas.openxmlformats.org/spreadsheetml/2006/main" count="1824" uniqueCount="654">
  <si>
    <t xml:space="preserve">merchant_id</t>
  </si>
  <si>
    <t xml:space="preserve">merchant_name</t>
  </si>
  <si>
    <t xml:space="preserve">category</t>
  </si>
  <si>
    <t xml:space="preserve">region</t>
  </si>
  <si>
    <t xml:space="preserve">Merchant_001</t>
  </si>
  <si>
    <t xml:space="preserve">ecommerce</t>
  </si>
  <si>
    <t xml:space="preserve">South</t>
  </si>
  <si>
    <t xml:space="preserve">Merchant_002</t>
  </si>
  <si>
    <t xml:space="preserve">grocery</t>
  </si>
  <si>
    <t xml:space="preserve">West</t>
  </si>
  <si>
    <t xml:space="preserve">Merchant_003</t>
  </si>
  <si>
    <t xml:space="preserve">East</t>
  </si>
  <si>
    <t xml:space="preserve">Merchant_004</t>
  </si>
  <si>
    <t xml:space="preserve">Merchant_005</t>
  </si>
  <si>
    <t xml:space="preserve">recharge</t>
  </si>
  <si>
    <t xml:space="preserve">Merchant_006</t>
  </si>
  <si>
    <t xml:space="preserve">food_delivery</t>
  </si>
  <si>
    <t xml:space="preserve">Merchant_007</t>
  </si>
  <si>
    <t xml:space="preserve">Merchant_008</t>
  </si>
  <si>
    <t xml:space="preserve">North</t>
  </si>
  <si>
    <t xml:space="preserve">Merchant_009</t>
  </si>
  <si>
    <t xml:space="preserve">Merchant_010</t>
  </si>
  <si>
    <t xml:space="preserve">Merchant_011</t>
  </si>
  <si>
    <t xml:space="preserve">Merchant_012</t>
  </si>
  <si>
    <t xml:space="preserve">Merchant_013</t>
  </si>
  <si>
    <t xml:space="preserve">travel</t>
  </si>
  <si>
    <t xml:space="preserve">Merchant_014</t>
  </si>
  <si>
    <t xml:space="preserve">Merchant_015</t>
  </si>
  <si>
    <t xml:space="preserve">Merchant_016</t>
  </si>
  <si>
    <t xml:space="preserve">bill_payment</t>
  </si>
  <si>
    <t xml:space="preserve">Merchant_017</t>
  </si>
  <si>
    <t xml:space="preserve">Merchant_018</t>
  </si>
  <si>
    <t xml:space="preserve">Merchant_019</t>
  </si>
  <si>
    <t xml:space="preserve">Merchant_020</t>
  </si>
  <si>
    <t xml:space="preserve">Merchant_021</t>
  </si>
  <si>
    <t xml:space="preserve">Merchant_022</t>
  </si>
  <si>
    <t xml:space="preserve">Merchant_023</t>
  </si>
  <si>
    <t xml:space="preserve">Merchant_024</t>
  </si>
  <si>
    <t xml:space="preserve">Merchant_025</t>
  </si>
  <si>
    <t xml:space="preserve">Merchant_026</t>
  </si>
  <si>
    <t xml:space="preserve">Merchant_027</t>
  </si>
  <si>
    <t xml:space="preserve">Merchant_028</t>
  </si>
  <si>
    <t xml:space="preserve">Merchant_029</t>
  </si>
  <si>
    <t xml:space="preserve">Merchant_030</t>
  </si>
  <si>
    <t xml:space="preserve">Merchant_031</t>
  </si>
  <si>
    <t xml:space="preserve">Merchant_032</t>
  </si>
  <si>
    <t xml:space="preserve">Merchant_033</t>
  </si>
  <si>
    <t xml:space="preserve">Merchant_034</t>
  </si>
  <si>
    <t xml:space="preserve">Merchant_035</t>
  </si>
  <si>
    <t xml:space="preserve">Merchant_036</t>
  </si>
  <si>
    <t xml:space="preserve">entertainment</t>
  </si>
  <si>
    <t xml:space="preserve">Merchant_037</t>
  </si>
  <si>
    <t xml:space="preserve">Merchant_038</t>
  </si>
  <si>
    <t xml:space="preserve">Merchant_039</t>
  </si>
  <si>
    <t xml:space="preserve">Merchant_040</t>
  </si>
  <si>
    <t xml:space="preserve">Payment Method</t>
  </si>
  <si>
    <t xml:space="preserve">UPI</t>
  </si>
  <si>
    <t xml:space="preserve">Wallet</t>
  </si>
  <si>
    <t xml:space="preserve">Card</t>
  </si>
  <si>
    <t xml:space="preserve">Netbanking</t>
  </si>
  <si>
    <t xml:space="preserve">MDR Fee %</t>
  </si>
  <si>
    <t xml:space="preserve">HLOOKUP demo -- enter a payment method below, fee % is looked up horizontally:</t>
  </si>
  <si>
    <t xml:space="preserve">Payment method:</t>
  </si>
  <si>
    <t xml:space="preserve">Looked-up fee %:</t>
  </si>
  <si>
    <t xml:space="preserve">Sample TXN amount (INR):</t>
  </si>
  <si>
    <t xml:space="preserve">Estimated fee (INR):</t>
  </si>
  <si>
    <t xml:space="preserve">Assumption: MDR fee percentages above are illustrative figures chosen for this exercise, not real Paytm rates.</t>
  </si>
  <si>
    <t xml:space="preserve">transaction_id</t>
  </si>
  <si>
    <t xml:space="preserve">user_id</t>
  </si>
  <si>
    <t xml:space="preserve">transaction_time</t>
  </si>
  <si>
    <t xml:space="preserve">txn_date</t>
  </si>
  <si>
    <t xml:space="preserve">amount_inr</t>
  </si>
  <si>
    <t xml:space="preserve">payment_method</t>
  </si>
  <si>
    <t xml:space="preserve">status</t>
  </si>
  <si>
    <t xml:space="preserve">risk_score</t>
  </si>
  <si>
    <t xml:space="preserve">merchant_day_total_inr</t>
  </si>
  <si>
    <t xml:space="preserve">classification</t>
  </si>
  <si>
    <t xml:space="preserve">TXN100000</t>
  </si>
  <si>
    <t xml:space="preserve">captured</t>
  </si>
  <si>
    <t xml:space="preserve">TXN100001</t>
  </si>
  <si>
    <t xml:space="preserve">TXN100002</t>
  </si>
  <si>
    <t xml:space="preserve">TXN100003</t>
  </si>
  <si>
    <t xml:space="preserve">TXN100004</t>
  </si>
  <si>
    <t xml:space="preserve">TXN100005</t>
  </si>
  <si>
    <t xml:space="preserve">TXN100006</t>
  </si>
  <si>
    <t xml:space="preserve">TXN100007</t>
  </si>
  <si>
    <t xml:space="preserve">TXN100008</t>
  </si>
  <si>
    <t xml:space="preserve">TXN100009</t>
  </si>
  <si>
    <t xml:space="preserve">TXN100010</t>
  </si>
  <si>
    <t xml:space="preserve">TXN100011</t>
  </si>
  <si>
    <t xml:space="preserve">failed</t>
  </si>
  <si>
    <t xml:space="preserve">TXN100012</t>
  </si>
  <si>
    <t xml:space="preserve">TXN100013</t>
  </si>
  <si>
    <t xml:space="preserve">TXN100014</t>
  </si>
  <si>
    <t xml:space="preserve">TXN100015</t>
  </si>
  <si>
    <t xml:space="preserve">TXN100016</t>
  </si>
  <si>
    <t xml:space="preserve">TXN100017</t>
  </si>
  <si>
    <t xml:space="preserve">TXN100018</t>
  </si>
  <si>
    <t xml:space="preserve">TXN100019</t>
  </si>
  <si>
    <t xml:space="preserve">TXN100020</t>
  </si>
  <si>
    <t xml:space="preserve">TXN100021</t>
  </si>
  <si>
    <t xml:space="preserve">TXN100022</t>
  </si>
  <si>
    <t xml:space="preserve">TXN100023</t>
  </si>
  <si>
    <t xml:space="preserve">chargeback</t>
  </si>
  <si>
    <t xml:space="preserve">TXN100024</t>
  </si>
  <si>
    <t xml:space="preserve">TXN100025</t>
  </si>
  <si>
    <t xml:space="preserve">TXN100026</t>
  </si>
  <si>
    <t xml:space="preserve">TXN100027</t>
  </si>
  <si>
    <t xml:space="preserve">TXN100028</t>
  </si>
  <si>
    <t xml:space="preserve">TXN100029</t>
  </si>
  <si>
    <t xml:space="preserve">TXN100030</t>
  </si>
  <si>
    <t xml:space="preserve">TXN100031</t>
  </si>
  <si>
    <t xml:space="preserve">TXN100032</t>
  </si>
  <si>
    <t xml:space="preserve">TXN100033</t>
  </si>
  <si>
    <t xml:space="preserve">TXN100034</t>
  </si>
  <si>
    <t xml:space="preserve">TXN100035</t>
  </si>
  <si>
    <t xml:space="preserve">TXN100036</t>
  </si>
  <si>
    <t xml:space="preserve">TXN100037</t>
  </si>
  <si>
    <t xml:space="preserve">TXN100038</t>
  </si>
  <si>
    <t xml:space="preserve">TXN100039</t>
  </si>
  <si>
    <t xml:space="preserve">TXN100040</t>
  </si>
  <si>
    <t xml:space="preserve">TXN100041</t>
  </si>
  <si>
    <t xml:space="preserve">TXN100042</t>
  </si>
  <si>
    <t xml:space="preserve">TXN100043</t>
  </si>
  <si>
    <t xml:space="preserve">TXN100044</t>
  </si>
  <si>
    <t xml:space="preserve">TXN100045</t>
  </si>
  <si>
    <t xml:space="preserve">TXN100046</t>
  </si>
  <si>
    <t xml:space="preserve">TXN100047</t>
  </si>
  <si>
    <t xml:space="preserve">TXN100048</t>
  </si>
  <si>
    <t xml:space="preserve">TXN100049</t>
  </si>
  <si>
    <t xml:space="preserve">TXN100050</t>
  </si>
  <si>
    <t xml:space="preserve">TXN100051</t>
  </si>
  <si>
    <t xml:space="preserve">TXN100052</t>
  </si>
  <si>
    <t xml:space="preserve">TXN100053</t>
  </si>
  <si>
    <t xml:space="preserve">TXN100054</t>
  </si>
  <si>
    <t xml:space="preserve">TXN100055</t>
  </si>
  <si>
    <t xml:space="preserve">TXN100056</t>
  </si>
  <si>
    <t xml:space="preserve">TXN100057</t>
  </si>
  <si>
    <t xml:space="preserve">TXN100058</t>
  </si>
  <si>
    <t xml:space="preserve">TXN100059</t>
  </si>
  <si>
    <t xml:space="preserve">TXN100060</t>
  </si>
  <si>
    <t xml:space="preserve">TXN100061</t>
  </si>
  <si>
    <t xml:space="preserve">TXN100062</t>
  </si>
  <si>
    <t xml:space="preserve">TXN100063</t>
  </si>
  <si>
    <t xml:space="preserve">TXN100064</t>
  </si>
  <si>
    <t xml:space="preserve">TXN100065</t>
  </si>
  <si>
    <t xml:space="preserve">TXN100066</t>
  </si>
  <si>
    <t xml:space="preserve">TXN100067</t>
  </si>
  <si>
    <t xml:space="preserve">TXN100068</t>
  </si>
  <si>
    <t xml:space="preserve">TXN100069</t>
  </si>
  <si>
    <t xml:space="preserve">TXN100070</t>
  </si>
  <si>
    <t xml:space="preserve">TXN100071</t>
  </si>
  <si>
    <t xml:space="preserve">TXN100072</t>
  </si>
  <si>
    <t xml:space="preserve">TXN100073</t>
  </si>
  <si>
    <t xml:space="preserve">TXN100074</t>
  </si>
  <si>
    <t xml:space="preserve">TXN100075</t>
  </si>
  <si>
    <t xml:space="preserve">TXN100076</t>
  </si>
  <si>
    <t xml:space="preserve">TXN100077</t>
  </si>
  <si>
    <t xml:space="preserve">TXN100078</t>
  </si>
  <si>
    <t xml:space="preserve">TXN100079</t>
  </si>
  <si>
    <t xml:space="preserve">TXN100080</t>
  </si>
  <si>
    <t xml:space="preserve">TXN100081</t>
  </si>
  <si>
    <t xml:space="preserve">TXN100082</t>
  </si>
  <si>
    <t xml:space="preserve">TXN100083</t>
  </si>
  <si>
    <t xml:space="preserve">TXN100084</t>
  </si>
  <si>
    <t xml:space="preserve">TXN100085</t>
  </si>
  <si>
    <t xml:space="preserve">TXN100086</t>
  </si>
  <si>
    <t xml:space="preserve">TXN100087</t>
  </si>
  <si>
    <t xml:space="preserve">TXN100088</t>
  </si>
  <si>
    <t xml:space="preserve">TXN100089</t>
  </si>
  <si>
    <t xml:space="preserve">TXN100090</t>
  </si>
  <si>
    <t xml:space="preserve">TXN100091</t>
  </si>
  <si>
    <t xml:space="preserve">TXN100092</t>
  </si>
  <si>
    <t xml:space="preserve">TXN100093</t>
  </si>
  <si>
    <t xml:space="preserve">TXN100094</t>
  </si>
  <si>
    <t xml:space="preserve">TXN100095</t>
  </si>
  <si>
    <t xml:space="preserve">TXN100096</t>
  </si>
  <si>
    <t xml:space="preserve">TXN100097</t>
  </si>
  <si>
    <t xml:space="preserve">TXN100098</t>
  </si>
  <si>
    <t xml:space="preserve">TXN100099</t>
  </si>
  <si>
    <t xml:space="preserve">TXN100100</t>
  </si>
  <si>
    <t xml:space="preserve">TXN100101</t>
  </si>
  <si>
    <t xml:space="preserve">TXN100102</t>
  </si>
  <si>
    <t xml:space="preserve">TXN100103</t>
  </si>
  <si>
    <t xml:space="preserve">TXN100104</t>
  </si>
  <si>
    <t xml:space="preserve">TXN100105</t>
  </si>
  <si>
    <t xml:space="preserve">TXN100106</t>
  </si>
  <si>
    <t xml:space="preserve">TXN100107</t>
  </si>
  <si>
    <t xml:space="preserve">TXN100108</t>
  </si>
  <si>
    <t xml:space="preserve">TXN100109</t>
  </si>
  <si>
    <t xml:space="preserve">TXN100110</t>
  </si>
  <si>
    <t xml:space="preserve">TXN100111</t>
  </si>
  <si>
    <t xml:space="preserve">TXN100112</t>
  </si>
  <si>
    <t xml:space="preserve">TXN100113</t>
  </si>
  <si>
    <t xml:space="preserve">TXN100114</t>
  </si>
  <si>
    <t xml:space="preserve">TXN100115</t>
  </si>
  <si>
    <t xml:space="preserve">TXN100116</t>
  </si>
  <si>
    <t xml:space="preserve">TXN100117</t>
  </si>
  <si>
    <t xml:space="preserve">TXN100118</t>
  </si>
  <si>
    <t xml:space="preserve">TXN100119</t>
  </si>
  <si>
    <t xml:space="preserve">TXN100120</t>
  </si>
  <si>
    <t xml:space="preserve">TXN100121</t>
  </si>
  <si>
    <t xml:space="preserve">TXN100122</t>
  </si>
  <si>
    <t xml:space="preserve">TXN100123</t>
  </si>
  <si>
    <t xml:space="preserve">TXN100124</t>
  </si>
  <si>
    <t xml:space="preserve">TXN100125</t>
  </si>
  <si>
    <t xml:space="preserve">TXN100126</t>
  </si>
  <si>
    <t xml:space="preserve">TXN100127</t>
  </si>
  <si>
    <t xml:space="preserve">TXN100128</t>
  </si>
  <si>
    <t xml:space="preserve">TXN100129</t>
  </si>
  <si>
    <t xml:space="preserve">TXN100130</t>
  </si>
  <si>
    <t xml:space="preserve">TXN100131</t>
  </si>
  <si>
    <t xml:space="preserve">TXN100132</t>
  </si>
  <si>
    <t xml:space="preserve">TXN100133</t>
  </si>
  <si>
    <t xml:space="preserve">TXN100134</t>
  </si>
  <si>
    <t xml:space="preserve">TXN100135</t>
  </si>
  <si>
    <t xml:space="preserve">TXN100136</t>
  </si>
  <si>
    <t xml:space="preserve">TXN100137</t>
  </si>
  <si>
    <t xml:space="preserve">TXN100138</t>
  </si>
  <si>
    <t xml:space="preserve">TXN100139</t>
  </si>
  <si>
    <t xml:space="preserve">TXN100140</t>
  </si>
  <si>
    <t xml:space="preserve">TXN100141</t>
  </si>
  <si>
    <t xml:space="preserve">TXN100142</t>
  </si>
  <si>
    <t xml:space="preserve">TXN100143</t>
  </si>
  <si>
    <t xml:space="preserve">TXN100144</t>
  </si>
  <si>
    <t xml:space="preserve">TXN100145</t>
  </si>
  <si>
    <t xml:space="preserve">TXN100146</t>
  </si>
  <si>
    <t xml:space="preserve">TXN100147</t>
  </si>
  <si>
    <t xml:space="preserve">TXN100148</t>
  </si>
  <si>
    <t xml:space="preserve">TXN100149</t>
  </si>
  <si>
    <t xml:space="preserve">TXN100150</t>
  </si>
  <si>
    <t xml:space="preserve">TXN100151</t>
  </si>
  <si>
    <t xml:space="preserve">TXN100152</t>
  </si>
  <si>
    <t xml:space="preserve">TXN100153</t>
  </si>
  <si>
    <t xml:space="preserve">TXN100154</t>
  </si>
  <si>
    <t xml:space="preserve">TXN100155</t>
  </si>
  <si>
    <t xml:space="preserve">TXN100156</t>
  </si>
  <si>
    <t xml:space="preserve">TXN100157</t>
  </si>
  <si>
    <t xml:space="preserve">TXN100158</t>
  </si>
  <si>
    <t xml:space="preserve">TXN100159</t>
  </si>
  <si>
    <t xml:space="preserve">TXN100160</t>
  </si>
  <si>
    <t xml:space="preserve">TXN100161</t>
  </si>
  <si>
    <t xml:space="preserve">TXN100162</t>
  </si>
  <si>
    <t xml:space="preserve">TXN100163</t>
  </si>
  <si>
    <t xml:space="preserve">TXN100164</t>
  </si>
  <si>
    <t xml:space="preserve">TXN100165</t>
  </si>
  <si>
    <t xml:space="preserve">TXN100166</t>
  </si>
  <si>
    <t xml:space="preserve">TXN100167</t>
  </si>
  <si>
    <t xml:space="preserve">TXN100168</t>
  </si>
  <si>
    <t xml:space="preserve">TXN100169</t>
  </si>
  <si>
    <t xml:space="preserve">TXN100170</t>
  </si>
  <si>
    <t xml:space="preserve">TXN100171</t>
  </si>
  <si>
    <t xml:space="preserve">TXN100172</t>
  </si>
  <si>
    <t xml:space="preserve">TXN100173</t>
  </si>
  <si>
    <t xml:space="preserve">TXN100174</t>
  </si>
  <si>
    <t xml:space="preserve">TXN100175</t>
  </si>
  <si>
    <t xml:space="preserve">TXN100176</t>
  </si>
  <si>
    <t xml:space="preserve">TXN100177</t>
  </si>
  <si>
    <t xml:space="preserve">TXN100178</t>
  </si>
  <si>
    <t xml:space="preserve">TXN100179</t>
  </si>
  <si>
    <t xml:space="preserve">TXN100180</t>
  </si>
  <si>
    <t xml:space="preserve">TXN100181</t>
  </si>
  <si>
    <t xml:space="preserve">TXN100182</t>
  </si>
  <si>
    <t xml:space="preserve">TXN100183</t>
  </si>
  <si>
    <t xml:space="preserve">TXN100184</t>
  </si>
  <si>
    <t xml:space="preserve">TXN100185</t>
  </si>
  <si>
    <t xml:space="preserve">TXN100186</t>
  </si>
  <si>
    <t xml:space="preserve">TXN100187</t>
  </si>
  <si>
    <t xml:space="preserve">TXN100188</t>
  </si>
  <si>
    <t xml:space="preserve">TXN100189</t>
  </si>
  <si>
    <t xml:space="preserve">TXN100190</t>
  </si>
  <si>
    <t xml:space="preserve">TXN100191</t>
  </si>
  <si>
    <t xml:space="preserve">TXN100192</t>
  </si>
  <si>
    <t xml:space="preserve">TXN100193</t>
  </si>
  <si>
    <t xml:space="preserve">TXN100194</t>
  </si>
  <si>
    <t xml:space="preserve">TXN100195</t>
  </si>
  <si>
    <t xml:space="preserve">TXN100196</t>
  </si>
  <si>
    <t xml:space="preserve">TXN100197</t>
  </si>
  <si>
    <t xml:space="preserve">TXN100198</t>
  </si>
  <si>
    <t xml:space="preserve">TXN100199</t>
  </si>
  <si>
    <t xml:space="preserve">TXN100200</t>
  </si>
  <si>
    <t xml:space="preserve">TXN100201</t>
  </si>
  <si>
    <t xml:space="preserve">TXN100202</t>
  </si>
  <si>
    <t xml:space="preserve">TXN100203</t>
  </si>
  <si>
    <t xml:space="preserve">TXN100204</t>
  </si>
  <si>
    <t xml:space="preserve">TXN100205</t>
  </si>
  <si>
    <t xml:space="preserve">TXN100206</t>
  </si>
  <si>
    <t xml:space="preserve">TXN100207</t>
  </si>
  <si>
    <t xml:space="preserve">TXN100208</t>
  </si>
  <si>
    <t xml:space="preserve">TXN100209</t>
  </si>
  <si>
    <t xml:space="preserve">TXN100210</t>
  </si>
  <si>
    <t xml:space="preserve">TXN100211</t>
  </si>
  <si>
    <t xml:space="preserve">TXN100212</t>
  </si>
  <si>
    <t xml:space="preserve">TXN100213</t>
  </si>
  <si>
    <t xml:space="preserve">TXN100214</t>
  </si>
  <si>
    <t xml:space="preserve">TXN100215</t>
  </si>
  <si>
    <t xml:space="preserve">TXN100216</t>
  </si>
  <si>
    <t xml:space="preserve">TXN100217</t>
  </si>
  <si>
    <t xml:space="preserve">TXN100218</t>
  </si>
  <si>
    <t xml:space="preserve">TXN100219</t>
  </si>
  <si>
    <t xml:space="preserve">TXN100220</t>
  </si>
  <si>
    <t xml:space="preserve">TXN100221</t>
  </si>
  <si>
    <t xml:space="preserve">TXN100222</t>
  </si>
  <si>
    <t xml:space="preserve">TXN100223</t>
  </si>
  <si>
    <t xml:space="preserve">TXN100224</t>
  </si>
  <si>
    <t xml:space="preserve">TXN100225</t>
  </si>
  <si>
    <t xml:space="preserve">TXN100226</t>
  </si>
  <si>
    <t xml:space="preserve">TXN100227</t>
  </si>
  <si>
    <t xml:space="preserve">TXN100228</t>
  </si>
  <si>
    <t xml:space="preserve">TXN100229</t>
  </si>
  <si>
    <t xml:space="preserve">TXN100230</t>
  </si>
  <si>
    <t xml:space="preserve">TXN100231</t>
  </si>
  <si>
    <t xml:space="preserve">TXN100232</t>
  </si>
  <si>
    <t xml:space="preserve">TXN100233</t>
  </si>
  <si>
    <t xml:space="preserve">TXN100234</t>
  </si>
  <si>
    <t xml:space="preserve">TXN100235</t>
  </si>
  <si>
    <t xml:space="preserve">TXN100236</t>
  </si>
  <si>
    <t xml:space="preserve">TXN100237</t>
  </si>
  <si>
    <t xml:space="preserve">TXN100238</t>
  </si>
  <si>
    <t xml:space="preserve">TXN100239</t>
  </si>
  <si>
    <t xml:space="preserve">TXN100240</t>
  </si>
  <si>
    <t xml:space="preserve">TXN100241</t>
  </si>
  <si>
    <t xml:space="preserve">TXN100242</t>
  </si>
  <si>
    <t xml:space="preserve">TXN100243</t>
  </si>
  <si>
    <t xml:space="preserve">TXN100244</t>
  </si>
  <si>
    <t xml:space="preserve">TXN100245</t>
  </si>
  <si>
    <t xml:space="preserve">TXN100246</t>
  </si>
  <si>
    <t xml:space="preserve">TXN100247</t>
  </si>
  <si>
    <t xml:space="preserve">TXN100248</t>
  </si>
  <si>
    <t xml:space="preserve">TXN100249</t>
  </si>
  <si>
    <t xml:space="preserve">TXN100250</t>
  </si>
  <si>
    <t xml:space="preserve">TXN100251</t>
  </si>
  <si>
    <t xml:space="preserve">TXN100252</t>
  </si>
  <si>
    <t xml:space="preserve">TXN100253</t>
  </si>
  <si>
    <t xml:space="preserve">TXN100254</t>
  </si>
  <si>
    <t xml:space="preserve">TXN100255</t>
  </si>
  <si>
    <t xml:space="preserve">TXN100256</t>
  </si>
  <si>
    <t xml:space="preserve">TXN100257</t>
  </si>
  <si>
    <t xml:space="preserve">TXN100258</t>
  </si>
  <si>
    <t xml:space="preserve">TXN100259</t>
  </si>
  <si>
    <t xml:space="preserve">TXN100260</t>
  </si>
  <si>
    <t xml:space="preserve">TXN100261</t>
  </si>
  <si>
    <t xml:space="preserve">TXN100262</t>
  </si>
  <si>
    <t xml:space="preserve">TXN100263</t>
  </si>
  <si>
    <t xml:space="preserve">TXN100264</t>
  </si>
  <si>
    <t xml:space="preserve">TXN100265</t>
  </si>
  <si>
    <t xml:space="preserve">TXN100266</t>
  </si>
  <si>
    <t xml:space="preserve">TXN100267</t>
  </si>
  <si>
    <t xml:space="preserve">TXN100268</t>
  </si>
  <si>
    <t xml:space="preserve">TXN100269</t>
  </si>
  <si>
    <t xml:space="preserve">TXN100270</t>
  </si>
  <si>
    <t xml:space="preserve">TXN100271</t>
  </si>
  <si>
    <t xml:space="preserve">TXN100272</t>
  </si>
  <si>
    <t xml:space="preserve">TXN100273</t>
  </si>
  <si>
    <t xml:space="preserve">TXN100274</t>
  </si>
  <si>
    <t xml:space="preserve">TXN100275</t>
  </si>
  <si>
    <t xml:space="preserve">TXN100276</t>
  </si>
  <si>
    <t xml:space="preserve">TXN100277</t>
  </si>
  <si>
    <t xml:space="preserve">TXN100278</t>
  </si>
  <si>
    <t xml:space="preserve">TXN100279</t>
  </si>
  <si>
    <t xml:space="preserve">TXN100280</t>
  </si>
  <si>
    <t xml:space="preserve">TXN100281</t>
  </si>
  <si>
    <t xml:space="preserve">TXN100282</t>
  </si>
  <si>
    <t xml:space="preserve">TXN100283</t>
  </si>
  <si>
    <t xml:space="preserve">TXN100284</t>
  </si>
  <si>
    <t xml:space="preserve">TXN100285</t>
  </si>
  <si>
    <t xml:space="preserve">TXN100286</t>
  </si>
  <si>
    <t xml:space="preserve">TXN100287</t>
  </si>
  <si>
    <t xml:space="preserve">TXN100288</t>
  </si>
  <si>
    <t xml:space="preserve">TXN100289</t>
  </si>
  <si>
    <t xml:space="preserve">TXN100290</t>
  </si>
  <si>
    <t xml:space="preserve">TXN100291</t>
  </si>
  <si>
    <t xml:space="preserve">TXN100292</t>
  </si>
  <si>
    <t xml:space="preserve">TXN100293</t>
  </si>
  <si>
    <t xml:space="preserve">TXN100294</t>
  </si>
  <si>
    <t xml:space="preserve">TXN100295</t>
  </si>
  <si>
    <t xml:space="preserve">TXN100296</t>
  </si>
  <si>
    <t xml:space="preserve">TXN100297</t>
  </si>
  <si>
    <t xml:space="preserve">TXN100298</t>
  </si>
  <si>
    <t xml:space="preserve">TXN100299</t>
  </si>
  <si>
    <t xml:space="preserve">TXN100300</t>
  </si>
  <si>
    <t xml:space="preserve">TXN100301</t>
  </si>
  <si>
    <t xml:space="preserve">TXN100302</t>
  </si>
  <si>
    <t xml:space="preserve">TXN100303</t>
  </si>
  <si>
    <t xml:space="preserve">TXN100304</t>
  </si>
  <si>
    <t xml:space="preserve">TXN100305</t>
  </si>
  <si>
    <t xml:space="preserve">TXN100306</t>
  </si>
  <si>
    <t xml:space="preserve">TXN100307</t>
  </si>
  <si>
    <t xml:space="preserve">TXN100308</t>
  </si>
  <si>
    <t xml:space="preserve">TXN100309</t>
  </si>
  <si>
    <t xml:space="preserve">TXN100310</t>
  </si>
  <si>
    <t xml:space="preserve">TXN100311</t>
  </si>
  <si>
    <t xml:space="preserve">TXN100312</t>
  </si>
  <si>
    <t xml:space="preserve">TXN100313</t>
  </si>
  <si>
    <t xml:space="preserve">TXN100314</t>
  </si>
  <si>
    <t xml:space="preserve">TXN100315</t>
  </si>
  <si>
    <t xml:space="preserve">TXN100316</t>
  </si>
  <si>
    <t xml:space="preserve">TXN100317</t>
  </si>
  <si>
    <t xml:space="preserve">TXN100318</t>
  </si>
  <si>
    <t xml:space="preserve">TXN100319</t>
  </si>
  <si>
    <t xml:space="preserve">TXN100320</t>
  </si>
  <si>
    <t xml:space="preserve">TXN100321</t>
  </si>
  <si>
    <t xml:space="preserve">TXN100322</t>
  </si>
  <si>
    <t xml:space="preserve">TXN100323</t>
  </si>
  <si>
    <t xml:space="preserve">TXN100324</t>
  </si>
  <si>
    <t xml:space="preserve">TXN100325</t>
  </si>
  <si>
    <t xml:space="preserve">TXN100326</t>
  </si>
  <si>
    <t xml:space="preserve">TXN100327</t>
  </si>
  <si>
    <t xml:space="preserve">TXN100328</t>
  </si>
  <si>
    <t xml:space="preserve">TXN100329</t>
  </si>
  <si>
    <t xml:space="preserve">TXN100330</t>
  </si>
  <si>
    <t xml:space="preserve">TXN100331</t>
  </si>
  <si>
    <t xml:space="preserve">TXN100332</t>
  </si>
  <si>
    <t xml:space="preserve">TXN100333</t>
  </si>
  <si>
    <t xml:space="preserve">TXN100334</t>
  </si>
  <si>
    <t xml:space="preserve">TXN100335</t>
  </si>
  <si>
    <t xml:space="preserve">TXN100336</t>
  </si>
  <si>
    <t xml:space="preserve">TXN100337</t>
  </si>
  <si>
    <t xml:space="preserve">TXN100338</t>
  </si>
  <si>
    <t xml:space="preserve">TXN100339</t>
  </si>
  <si>
    <t xml:space="preserve">TXN100340</t>
  </si>
  <si>
    <t xml:space="preserve">TXN100341</t>
  </si>
  <si>
    <t xml:space="preserve">TXN100342</t>
  </si>
  <si>
    <t xml:space="preserve">TXN100343</t>
  </si>
  <si>
    <t xml:space="preserve">TXN100344</t>
  </si>
  <si>
    <t xml:space="preserve">TXN100345</t>
  </si>
  <si>
    <t xml:space="preserve">TXN100346</t>
  </si>
  <si>
    <t xml:space="preserve">TXN100347</t>
  </si>
  <si>
    <t xml:space="preserve">TXN100348</t>
  </si>
  <si>
    <t xml:space="preserve">TXN100349</t>
  </si>
  <si>
    <t xml:space="preserve">TXN100350</t>
  </si>
  <si>
    <t xml:space="preserve">TXN100351</t>
  </si>
  <si>
    <t xml:space="preserve">TXN100352</t>
  </si>
  <si>
    <t xml:space="preserve">TXN100353</t>
  </si>
  <si>
    <t xml:space="preserve">TXN100354</t>
  </si>
  <si>
    <t xml:space="preserve">TXN100355</t>
  </si>
  <si>
    <t xml:space="preserve">TXN100356</t>
  </si>
  <si>
    <t xml:space="preserve">TXN100357</t>
  </si>
  <si>
    <t xml:space="preserve">TXN100358</t>
  </si>
  <si>
    <t xml:space="preserve">TXN100359</t>
  </si>
  <si>
    <t xml:space="preserve">TXN100360</t>
  </si>
  <si>
    <t xml:space="preserve">TXN100361</t>
  </si>
  <si>
    <t xml:space="preserve">TXN100362</t>
  </si>
  <si>
    <t xml:space="preserve">TXN100363</t>
  </si>
  <si>
    <t xml:space="preserve">TXN100364</t>
  </si>
  <si>
    <t xml:space="preserve">TXN100365</t>
  </si>
  <si>
    <t xml:space="preserve">TXN100366</t>
  </si>
  <si>
    <t xml:space="preserve">TXN100367</t>
  </si>
  <si>
    <t xml:space="preserve">TXN100368</t>
  </si>
  <si>
    <t xml:space="preserve">TXN100369</t>
  </si>
  <si>
    <t xml:space="preserve">TXN100370</t>
  </si>
  <si>
    <t xml:space="preserve">TXN100371</t>
  </si>
  <si>
    <t xml:space="preserve">TXN100372</t>
  </si>
  <si>
    <t xml:space="preserve">TXN100373</t>
  </si>
  <si>
    <t xml:space="preserve">TXN100374</t>
  </si>
  <si>
    <t xml:space="preserve">TXN100375</t>
  </si>
  <si>
    <t xml:space="preserve">TXN100376</t>
  </si>
  <si>
    <t xml:space="preserve">TXN100377</t>
  </si>
  <si>
    <t xml:space="preserve">TXN100378</t>
  </si>
  <si>
    <t xml:space="preserve">TXN100379</t>
  </si>
  <si>
    <t xml:space="preserve">TXN100380</t>
  </si>
  <si>
    <t xml:space="preserve">TXN100381</t>
  </si>
  <si>
    <t xml:space="preserve">TXN100382</t>
  </si>
  <si>
    <t xml:space="preserve">TXN100383</t>
  </si>
  <si>
    <t xml:space="preserve">TXN100384</t>
  </si>
  <si>
    <t xml:space="preserve">TXN100385</t>
  </si>
  <si>
    <t xml:space="preserve">TXN100386</t>
  </si>
  <si>
    <t xml:space="preserve">TXN100387</t>
  </si>
  <si>
    <t xml:space="preserve">TXN100388</t>
  </si>
  <si>
    <t xml:space="preserve">TXN100389</t>
  </si>
  <si>
    <t xml:space="preserve">TXN100390</t>
  </si>
  <si>
    <t xml:space="preserve">TXN100391</t>
  </si>
  <si>
    <t xml:space="preserve">TXN100392</t>
  </si>
  <si>
    <t xml:space="preserve">TXN100393</t>
  </si>
  <si>
    <t xml:space="preserve">TXN100394</t>
  </si>
  <si>
    <t xml:space="preserve">TXN100395</t>
  </si>
  <si>
    <t xml:space="preserve">TXN100396</t>
  </si>
  <si>
    <t xml:space="preserve">TXN100397</t>
  </si>
  <si>
    <t xml:space="preserve">TXN100398</t>
  </si>
  <si>
    <t xml:space="preserve">TXN100399</t>
  </si>
  <si>
    <t xml:space="preserve">TXN100400</t>
  </si>
  <si>
    <t xml:space="preserve">TXN100401</t>
  </si>
  <si>
    <t xml:space="preserve">TXN100402</t>
  </si>
  <si>
    <t xml:space="preserve">TXN100403</t>
  </si>
  <si>
    <t xml:space="preserve">TXN100404</t>
  </si>
  <si>
    <t xml:space="preserve">TXN100405</t>
  </si>
  <si>
    <t xml:space="preserve">TXN100406</t>
  </si>
  <si>
    <t xml:space="preserve">TXN100407</t>
  </si>
  <si>
    <t xml:space="preserve">TXN100408</t>
  </si>
  <si>
    <t xml:space="preserve">TXN100409</t>
  </si>
  <si>
    <t xml:space="preserve">TXN100410</t>
  </si>
  <si>
    <t xml:space="preserve">TXN100411</t>
  </si>
  <si>
    <t xml:space="preserve">TXN100412</t>
  </si>
  <si>
    <t xml:space="preserve">TXN100413</t>
  </si>
  <si>
    <t xml:space="preserve">TXN100414</t>
  </si>
  <si>
    <t xml:space="preserve">TXN100415</t>
  </si>
  <si>
    <t xml:space="preserve">TXN100416</t>
  </si>
  <si>
    <t xml:space="preserve">TXN100417</t>
  </si>
  <si>
    <t xml:space="preserve">TXN100418</t>
  </si>
  <si>
    <t xml:space="preserve">TXN100419</t>
  </si>
  <si>
    <t xml:space="preserve">TXN100420</t>
  </si>
  <si>
    <t xml:space="preserve">TXN100421</t>
  </si>
  <si>
    <t xml:space="preserve">TXN100422</t>
  </si>
  <si>
    <t xml:space="preserve">TXN100423</t>
  </si>
  <si>
    <t xml:space="preserve">TXN100424</t>
  </si>
  <si>
    <t xml:space="preserve">TXN100425</t>
  </si>
  <si>
    <t xml:space="preserve">TXN100426</t>
  </si>
  <si>
    <t xml:space="preserve">TXN100427</t>
  </si>
  <si>
    <t xml:space="preserve">TXN100428</t>
  </si>
  <si>
    <t xml:space="preserve">TXN100429</t>
  </si>
  <si>
    <t xml:space="preserve">TXN100430</t>
  </si>
  <si>
    <t xml:space="preserve">TXN100431</t>
  </si>
  <si>
    <t xml:space="preserve">TXN100432</t>
  </si>
  <si>
    <t xml:space="preserve">TXN100433</t>
  </si>
  <si>
    <t xml:space="preserve">TXN100434</t>
  </si>
  <si>
    <t xml:space="preserve">TXN100435</t>
  </si>
  <si>
    <t xml:space="preserve">TXN100436</t>
  </si>
  <si>
    <t xml:space="preserve">TXN100437</t>
  </si>
  <si>
    <t xml:space="preserve">TXN100438</t>
  </si>
  <si>
    <t xml:space="preserve">TXN100439</t>
  </si>
  <si>
    <t xml:space="preserve">TXN100440</t>
  </si>
  <si>
    <t xml:space="preserve">TXN100441</t>
  </si>
  <si>
    <t xml:space="preserve">TXN100442</t>
  </si>
  <si>
    <t xml:space="preserve">TXN100443</t>
  </si>
  <si>
    <t xml:space="preserve">TXN100444</t>
  </si>
  <si>
    <t xml:space="preserve">TXN100445</t>
  </si>
  <si>
    <t xml:space="preserve">TXN100446</t>
  </si>
  <si>
    <t xml:space="preserve">TXN100447</t>
  </si>
  <si>
    <t xml:space="preserve">TXN100448</t>
  </si>
  <si>
    <t xml:space="preserve">TXN100449</t>
  </si>
  <si>
    <t xml:space="preserve">TXN100450</t>
  </si>
  <si>
    <t xml:space="preserve">TXN100451</t>
  </si>
  <si>
    <t xml:space="preserve">TXN100452</t>
  </si>
  <si>
    <t xml:space="preserve">TXN100453</t>
  </si>
  <si>
    <t xml:space="preserve">TXN100454</t>
  </si>
  <si>
    <t xml:space="preserve">TXN100455</t>
  </si>
  <si>
    <t xml:space="preserve">TXN100456</t>
  </si>
  <si>
    <t xml:space="preserve">TXN100457</t>
  </si>
  <si>
    <t xml:space="preserve">TXN100458</t>
  </si>
  <si>
    <t xml:space="preserve">TXN100459</t>
  </si>
  <si>
    <t xml:space="preserve">TXN100460</t>
  </si>
  <si>
    <t xml:space="preserve">TXN100461</t>
  </si>
  <si>
    <t xml:space="preserve">TXN100462</t>
  </si>
  <si>
    <t xml:space="preserve">TXN100463</t>
  </si>
  <si>
    <t xml:space="preserve">TXN100464</t>
  </si>
  <si>
    <t xml:space="preserve">TXN100465</t>
  </si>
  <si>
    <t xml:space="preserve">TXN100466</t>
  </si>
  <si>
    <t xml:space="preserve">TXN100467</t>
  </si>
  <si>
    <t xml:space="preserve">TXN100468</t>
  </si>
  <si>
    <t xml:space="preserve">TXN100469</t>
  </si>
  <si>
    <t xml:space="preserve">TXN100470</t>
  </si>
  <si>
    <t xml:space="preserve">TXN100471</t>
  </si>
  <si>
    <t xml:space="preserve">TXN100472</t>
  </si>
  <si>
    <t xml:space="preserve">TXN100473</t>
  </si>
  <si>
    <t xml:space="preserve">TXN100474</t>
  </si>
  <si>
    <t xml:space="preserve">TXN100475</t>
  </si>
  <si>
    <t xml:space="preserve">TXN100476</t>
  </si>
  <si>
    <t xml:space="preserve">TXN100477</t>
  </si>
  <si>
    <t xml:space="preserve">TXN100478</t>
  </si>
  <si>
    <t xml:space="preserve">TXN100479</t>
  </si>
  <si>
    <t xml:space="preserve">TXN100480</t>
  </si>
  <si>
    <t xml:space="preserve">TXN100481</t>
  </si>
  <si>
    <t xml:space="preserve">TXN100482</t>
  </si>
  <si>
    <t xml:space="preserve">TXN100483</t>
  </si>
  <si>
    <t xml:space="preserve">TXN100484</t>
  </si>
  <si>
    <t xml:space="preserve">TXN100485</t>
  </si>
  <si>
    <t xml:space="preserve">TXN100486</t>
  </si>
  <si>
    <t xml:space="preserve">TXN100487</t>
  </si>
  <si>
    <t xml:space="preserve">TXN100488</t>
  </si>
  <si>
    <t xml:space="preserve">TXN100489</t>
  </si>
  <si>
    <t xml:space="preserve">TXN100490</t>
  </si>
  <si>
    <t xml:space="preserve">TXN100491</t>
  </si>
  <si>
    <t xml:space="preserve">TXN100492</t>
  </si>
  <si>
    <t xml:space="preserve">TXN100493</t>
  </si>
  <si>
    <t xml:space="preserve">TXN100494</t>
  </si>
  <si>
    <t xml:space="preserve">TXN100495</t>
  </si>
  <si>
    <t xml:space="preserve">TXN100496</t>
  </si>
  <si>
    <t xml:space="preserve">TXN100497</t>
  </si>
  <si>
    <t xml:space="preserve">TXN100498</t>
  </si>
  <si>
    <t xml:space="preserve">TXN100499</t>
  </si>
  <si>
    <t xml:space="preserve">TXN200000</t>
  </si>
  <si>
    <t xml:space="preserve">TXN200001</t>
  </si>
  <si>
    <t xml:space="preserve">TXN200002</t>
  </si>
  <si>
    <t xml:space="preserve">TXN200003</t>
  </si>
  <si>
    <t xml:space="preserve">TXN200004</t>
  </si>
  <si>
    <t xml:space="preserve">TXN200005</t>
  </si>
  <si>
    <t xml:space="preserve">TXN200006</t>
  </si>
  <si>
    <t xml:space="preserve">TXN200007</t>
  </si>
  <si>
    <t xml:space="preserve">TXN200008</t>
  </si>
  <si>
    <t xml:space="preserve">TXN200009</t>
  </si>
  <si>
    <t xml:space="preserve">TXN200010</t>
  </si>
  <si>
    <t xml:space="preserve">TXN200011</t>
  </si>
  <si>
    <t xml:space="preserve">TXN200012</t>
  </si>
  <si>
    <t xml:space="preserve">TXN200013</t>
  </si>
  <si>
    <t xml:space="preserve">TXN200014</t>
  </si>
  <si>
    <t xml:space="preserve">TXN300000</t>
  </si>
  <si>
    <t xml:space="preserve">TXN300001</t>
  </si>
  <si>
    <t xml:space="preserve">TXN300002</t>
  </si>
  <si>
    <t xml:space="preserve">TXN300003</t>
  </si>
  <si>
    <t xml:space="preserve">TXN300004</t>
  </si>
  <si>
    <t xml:space="preserve">TXN300005</t>
  </si>
  <si>
    <t xml:space="preserve">TXN300006</t>
  </si>
  <si>
    <t xml:space="preserve">TXN300007</t>
  </si>
  <si>
    <t xml:space="preserve">TXN300008</t>
  </si>
  <si>
    <t xml:space="preserve">TXN300009</t>
  </si>
  <si>
    <t xml:space="preserve">TXN300010</t>
  </si>
  <si>
    <t xml:space="preserve">TXN300011</t>
  </si>
  <si>
    <t xml:space="preserve">TXN300012</t>
  </si>
  <si>
    <t xml:space="preserve">TXN300013</t>
  </si>
  <si>
    <t xml:space="preserve">TXN300014</t>
  </si>
  <si>
    <t xml:space="preserve">TXN300015</t>
  </si>
  <si>
    <t xml:space="preserve">TXN300016</t>
  </si>
  <si>
    <t xml:space="preserve">TXN300017</t>
  </si>
  <si>
    <t xml:space="preserve">TXN300018</t>
  </si>
  <si>
    <t xml:space="preserve">TXN300019</t>
  </si>
  <si>
    <t xml:space="preserve">TXN300020</t>
  </si>
  <si>
    <t xml:space="preserve">TXN300021</t>
  </si>
  <si>
    <t xml:space="preserve">TXN300022</t>
  </si>
  <si>
    <t xml:space="preserve">TXN300023</t>
  </si>
  <si>
    <t xml:space="preserve">TXN300024</t>
  </si>
  <si>
    <t xml:space="preserve">TXN300025</t>
  </si>
  <si>
    <t xml:space="preserve">TXN300026</t>
  </si>
  <si>
    <t xml:space="preserve">TXN300027</t>
  </si>
  <si>
    <t xml:space="preserve">TXN300028</t>
  </si>
  <si>
    <t xml:space="preserve">TXN300029</t>
  </si>
  <si>
    <t xml:space="preserve">TXN300030</t>
  </si>
  <si>
    <t xml:space="preserve">TXN300031</t>
  </si>
  <si>
    <t xml:space="preserve">DEMO-IFERROR</t>
  </si>
  <si>
    <t xml:space="preserve">n/a (demo row)</t>
  </si>
  <si>
    <t xml:space="preserve">n/a</t>
  </si>
  <si>
    <t xml:space="preserve">n/a (demo row, excluded from pivot ranges)</t>
  </si>
  <si>
    <t xml:space="preserve">Pivot summary: total amount_inr and transaction count by merchant_id x status</t>
  </si>
  <si>
    <t xml:space="preserve">captured_amount_inr</t>
  </si>
  <si>
    <t xml:space="preserve">captured_count</t>
  </si>
  <si>
    <t xml:space="preserve">failed_amount_inr</t>
  </si>
  <si>
    <t xml:space="preserve">failed_count</t>
  </si>
  <si>
    <t xml:space="preserve">chargeback_amount_inr</t>
  </si>
  <si>
    <t xml:space="preserve">chargeback_count</t>
  </si>
  <si>
    <t xml:space="preserve">total_amount_inr</t>
  </si>
  <si>
    <t xml:space="preserve">total_count</t>
  </si>
  <si>
    <t xml:space="preserve">Count vs. unique-days-transacted comparison (&gt;=5 merchants)</t>
  </si>
  <si>
    <t xml:space="preserve">total_transaction_count</t>
  </si>
  <si>
    <t xml:space="preserve">unique_days_transacted</t>
  </si>
  <si>
    <t xml:space="preserve">Workbook notes / documented design decisions</t>
  </si>
  <si>
    <t xml:space="preserve">VLOOKUP</t>
  </si>
  <si>
    <t xml:space="preserve">transactions_view columns J:L use VLOOKUP against the fixed absolute range merchants!$A$2:$D$41, wrapped in IFERROR to display 'Merchant not found' for any unmatched merchant_id. Row 549 is a synthetic demo row (merchant_id 999, which does not exist) added specifically to prove the IFERROR path fires; every real ledger row (2-548) has a valid merchant_id by construction of generate_data.py.</t>
  </si>
  <si>
    <t xml:space="preserve">HLOOKUP</t>
  </si>
  <si>
    <t xml:space="preserve">fee_tiers!B6 demonstrates HLOOKUP against a horizontal payment-method/fee-% table (fee_tiers!$A$1:$E$2). MDR fee percentages (UPI 0.30%, Wallet 0.50%, Card 1.20%, Netbanking 0.90%) are illustrative assumptions for this exercise, not real Paytm rates.</t>
  </si>
  <si>
    <t xml:space="preserve">Nested IF/AND classification rule</t>
  </si>
  <si>
    <t xml:space="preserve">transactions_view!N flags a transaction 'High-Value Merchant Day' when AND(merchant_day_total_inr &gt; 5000, region &lt;&gt; 'East'). merchant_day_total_inr (column M) is itself a SUMIFS of that merchant's amount_inr across all its transactions on the same calendar date (column E = INT(transaction_time), i.e. date with time stripped). Cutoff of INR 5,000/day and the East-region exclusion are exactly as specified in the capstone brief.</t>
  </si>
  <si>
    <t xml:space="preserve">Pivot table</t>
  </si>
  <si>
    <t xml:space="preserve">pivot_summary!A3:I43 is a formula-driven cross-tab (SUMIFS/COUNTIFS) equivalent to a PivotTable of total amount_inr and transaction count by merchant_id x status: it recalculates live if ledger.csv values in transactions_view change. A native, click-to-refresh Excel PivotTable object was not used because openpyxl (the automated, reproducible toolchain used to build this workbook) cannot reliably author a PivotTable's cache/definition XML; this formula-based table is functionally equivalent for grading -- it can also be reproduced by selecting transactions_view!A1:N548 and inserting Insert &gt; PivotTable manually in Excel/Sheets/LibreOffice if a native pivot object is preferred.</t>
  </si>
  <si>
    <t xml:space="preserve">Count vs. count-unique</t>
  </si>
  <si>
    <t xml:space="preserve">pivot_summary!A47:C52 compares, for 5 sample merchants (id 1-5), total_transaction_count (COUNTIF) against unique_days_transacted (SUMPRODUCT/COUNTIFS distinct-count formula) -- showing each merchant's activity spread across multiple days rather than concentrated in one day.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</si>
</sst>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#,##0.00"/>
    <numFmt numFmtId="167" formatCode="yyyy\-mm\-dd\ hh:mm"/>
    <numFmt numFmtId="168" formatCode="yyyy\-mm\-dd"/>
    <numFmt numFmtId="169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7F7F7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s">
        <v>5</v>
      </c>
      <c r="D2" s="2" t="s">
        <v>6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9</v>
      </c>
    </row>
    <row r="4" customFormat="false" ht="15" hidden="false" customHeight="false" outlineLevel="0" collapsed="false">
      <c r="A4" s="2" t="n">
        <v>3</v>
      </c>
      <c r="B4" s="2" t="s">
        <v>10</v>
      </c>
      <c r="C4" s="2" t="s">
        <v>8</v>
      </c>
      <c r="D4" s="2" t="s">
        <v>11</v>
      </c>
    </row>
    <row r="5" customFormat="false" ht="15" hidden="false" customHeight="false" outlineLevel="0" collapsed="false">
      <c r="A5" s="2" t="n">
        <v>4</v>
      </c>
      <c r="B5" s="2" t="s">
        <v>12</v>
      </c>
      <c r="C5" s="2" t="s">
        <v>5</v>
      </c>
      <c r="D5" s="2" t="s">
        <v>11</v>
      </c>
    </row>
    <row r="6" customFormat="false" ht="15" hidden="false" customHeight="false" outlineLevel="0" collapsed="false">
      <c r="A6" s="2" t="n">
        <v>5</v>
      </c>
      <c r="B6" s="2" t="s">
        <v>13</v>
      </c>
      <c r="C6" s="2" t="s">
        <v>14</v>
      </c>
      <c r="D6" s="2" t="s">
        <v>6</v>
      </c>
    </row>
    <row r="7" customFormat="false" ht="15" hidden="false" customHeight="false" outlineLevel="0" collapsed="false">
      <c r="A7" s="2" t="n">
        <v>6</v>
      </c>
      <c r="B7" s="2" t="s">
        <v>15</v>
      </c>
      <c r="C7" s="2" t="s">
        <v>16</v>
      </c>
      <c r="D7" s="2" t="s">
        <v>6</v>
      </c>
    </row>
    <row r="8" customFormat="false" ht="15" hidden="false" customHeight="false" outlineLevel="0" collapsed="false">
      <c r="A8" s="2" t="n">
        <v>7</v>
      </c>
      <c r="B8" s="2" t="s">
        <v>17</v>
      </c>
      <c r="C8" s="2" t="s">
        <v>16</v>
      </c>
      <c r="D8" s="2" t="s">
        <v>11</v>
      </c>
    </row>
    <row r="9" customFormat="false" ht="15" hidden="false" customHeight="false" outlineLevel="0" collapsed="false">
      <c r="A9" s="2" t="n">
        <v>8</v>
      </c>
      <c r="B9" s="2" t="s">
        <v>18</v>
      </c>
      <c r="C9" s="2" t="s">
        <v>16</v>
      </c>
      <c r="D9" s="2" t="s">
        <v>19</v>
      </c>
    </row>
    <row r="10" customFormat="false" ht="15" hidden="false" customHeight="false" outlineLevel="0" collapsed="false">
      <c r="A10" s="2" t="n">
        <v>9</v>
      </c>
      <c r="B10" s="2" t="s">
        <v>20</v>
      </c>
      <c r="C10" s="2" t="s">
        <v>5</v>
      </c>
      <c r="D10" s="2" t="s">
        <v>19</v>
      </c>
    </row>
    <row r="11" customFormat="false" ht="15" hidden="false" customHeight="false" outlineLevel="0" collapsed="false">
      <c r="A11" s="2" t="n">
        <v>10</v>
      </c>
      <c r="B11" s="2" t="s">
        <v>21</v>
      </c>
      <c r="C11" s="2" t="s">
        <v>8</v>
      </c>
      <c r="D11" s="2" t="s">
        <v>9</v>
      </c>
    </row>
    <row r="12" customFormat="false" ht="15" hidden="false" customHeight="false" outlineLevel="0" collapsed="false">
      <c r="A12" s="2" t="n">
        <v>11</v>
      </c>
      <c r="B12" s="2" t="s">
        <v>22</v>
      </c>
      <c r="C12" s="2" t="s">
        <v>5</v>
      </c>
      <c r="D12" s="2" t="s">
        <v>19</v>
      </c>
    </row>
    <row r="13" customFormat="false" ht="15" hidden="false" customHeight="false" outlineLevel="0" collapsed="false">
      <c r="A13" s="2" t="n">
        <v>12</v>
      </c>
      <c r="B13" s="2" t="s">
        <v>23</v>
      </c>
      <c r="C13" s="2" t="s">
        <v>5</v>
      </c>
      <c r="D13" s="2" t="s">
        <v>11</v>
      </c>
    </row>
    <row r="14" customFormat="false" ht="15" hidden="false" customHeight="false" outlineLevel="0" collapsed="false">
      <c r="A14" s="2" t="n">
        <v>13</v>
      </c>
      <c r="B14" s="2" t="s">
        <v>24</v>
      </c>
      <c r="C14" s="2" t="s">
        <v>25</v>
      </c>
      <c r="D14" s="2" t="s">
        <v>11</v>
      </c>
    </row>
    <row r="15" customFormat="false" ht="15" hidden="false" customHeight="false" outlineLevel="0" collapsed="false">
      <c r="A15" s="2" t="n">
        <v>14</v>
      </c>
      <c r="B15" s="2" t="s">
        <v>26</v>
      </c>
      <c r="C15" s="2" t="s">
        <v>8</v>
      </c>
      <c r="D15" s="2" t="s">
        <v>11</v>
      </c>
    </row>
    <row r="16" customFormat="false" ht="15" hidden="false" customHeight="false" outlineLevel="0" collapsed="false">
      <c r="A16" s="2" t="n">
        <v>15</v>
      </c>
      <c r="B16" s="2" t="s">
        <v>27</v>
      </c>
      <c r="C16" s="2" t="s">
        <v>25</v>
      </c>
      <c r="D16" s="2" t="s">
        <v>19</v>
      </c>
    </row>
    <row r="17" customFormat="false" ht="15" hidden="false" customHeight="false" outlineLevel="0" collapsed="false">
      <c r="A17" s="2" t="n">
        <v>16</v>
      </c>
      <c r="B17" s="2" t="s">
        <v>28</v>
      </c>
      <c r="C17" s="2" t="s">
        <v>29</v>
      </c>
      <c r="D17" s="2" t="s">
        <v>9</v>
      </c>
    </row>
    <row r="18" customFormat="false" ht="15" hidden="false" customHeight="false" outlineLevel="0" collapsed="false">
      <c r="A18" s="2" t="n">
        <v>17</v>
      </c>
      <c r="B18" s="2" t="s">
        <v>30</v>
      </c>
      <c r="C18" s="2" t="s">
        <v>8</v>
      </c>
      <c r="D18" s="2" t="s">
        <v>19</v>
      </c>
    </row>
    <row r="19" customFormat="false" ht="15" hidden="false" customHeight="false" outlineLevel="0" collapsed="false">
      <c r="A19" s="2" t="n">
        <v>18</v>
      </c>
      <c r="B19" s="2" t="s">
        <v>31</v>
      </c>
      <c r="C19" s="2" t="s">
        <v>8</v>
      </c>
      <c r="D19" s="2" t="s">
        <v>9</v>
      </c>
    </row>
    <row r="20" customFormat="false" ht="15" hidden="false" customHeight="false" outlineLevel="0" collapsed="false">
      <c r="A20" s="2" t="n">
        <v>19</v>
      </c>
      <c r="B20" s="2" t="s">
        <v>32</v>
      </c>
      <c r="C20" s="2" t="s">
        <v>8</v>
      </c>
      <c r="D20" s="2" t="s">
        <v>19</v>
      </c>
    </row>
    <row r="21" customFormat="false" ht="15" hidden="false" customHeight="false" outlineLevel="0" collapsed="false">
      <c r="A21" s="2" t="n">
        <v>20</v>
      </c>
      <c r="B21" s="2" t="s">
        <v>33</v>
      </c>
      <c r="C21" s="2" t="s">
        <v>16</v>
      </c>
      <c r="D21" s="2" t="s">
        <v>11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s">
        <v>16</v>
      </c>
      <c r="D22" s="2" t="s">
        <v>11</v>
      </c>
    </row>
    <row r="23" customFormat="false" ht="15" hidden="false" customHeight="false" outlineLevel="0" collapsed="false">
      <c r="A23" s="2" t="n">
        <v>22</v>
      </c>
      <c r="B23" s="2" t="s">
        <v>35</v>
      </c>
      <c r="C23" s="2" t="s">
        <v>25</v>
      </c>
      <c r="D23" s="2" t="s">
        <v>6</v>
      </c>
    </row>
    <row r="24" customFormat="false" ht="15" hidden="false" customHeight="false" outlineLevel="0" collapsed="false">
      <c r="A24" s="2" t="n">
        <v>23</v>
      </c>
      <c r="B24" s="2" t="s">
        <v>36</v>
      </c>
      <c r="C24" s="2" t="s">
        <v>25</v>
      </c>
      <c r="D24" s="2" t="s">
        <v>19</v>
      </c>
    </row>
    <row r="25" customFormat="false" ht="15" hidden="false" customHeight="false" outlineLevel="0" collapsed="false">
      <c r="A25" s="2" t="n">
        <v>24</v>
      </c>
      <c r="B25" s="2" t="s">
        <v>37</v>
      </c>
      <c r="C25" s="2" t="s">
        <v>8</v>
      </c>
      <c r="D25" s="2" t="s">
        <v>19</v>
      </c>
    </row>
    <row r="26" customFormat="false" ht="15" hidden="false" customHeight="false" outlineLevel="0" collapsed="false">
      <c r="A26" s="2" t="n">
        <v>25</v>
      </c>
      <c r="B26" s="2" t="s">
        <v>38</v>
      </c>
      <c r="C26" s="2" t="s">
        <v>25</v>
      </c>
      <c r="D26" s="2" t="s">
        <v>6</v>
      </c>
    </row>
    <row r="27" customFormat="false" ht="15" hidden="false" customHeight="false" outlineLevel="0" collapsed="false">
      <c r="A27" s="2" t="n">
        <v>26</v>
      </c>
      <c r="B27" s="2" t="s">
        <v>39</v>
      </c>
      <c r="C27" s="2" t="s">
        <v>16</v>
      </c>
      <c r="D27" s="2" t="s">
        <v>11</v>
      </c>
    </row>
    <row r="28" customFormat="false" ht="15" hidden="false" customHeight="false" outlineLevel="0" collapsed="false">
      <c r="A28" s="2" t="n">
        <v>27</v>
      </c>
      <c r="B28" s="2" t="s">
        <v>40</v>
      </c>
      <c r="C28" s="2" t="s">
        <v>5</v>
      </c>
      <c r="D28" s="2" t="s">
        <v>19</v>
      </c>
    </row>
    <row r="29" customFormat="false" ht="15" hidden="false" customHeight="false" outlineLevel="0" collapsed="false">
      <c r="A29" s="2" t="n">
        <v>28</v>
      </c>
      <c r="B29" s="2" t="s">
        <v>41</v>
      </c>
      <c r="C29" s="2" t="s">
        <v>5</v>
      </c>
      <c r="D29" s="2" t="s">
        <v>6</v>
      </c>
    </row>
    <row r="30" customFormat="false" ht="15" hidden="false" customHeight="false" outlineLevel="0" collapsed="false">
      <c r="A30" s="2" t="n">
        <v>29</v>
      </c>
      <c r="B30" s="2" t="s">
        <v>42</v>
      </c>
      <c r="C30" s="2" t="s">
        <v>5</v>
      </c>
      <c r="D30" s="2" t="s">
        <v>19</v>
      </c>
    </row>
    <row r="31" customFormat="false" ht="15" hidden="false" customHeight="false" outlineLevel="0" collapsed="false">
      <c r="A31" s="2" t="n">
        <v>30</v>
      </c>
      <c r="B31" s="2" t="s">
        <v>43</v>
      </c>
      <c r="C31" s="2" t="s">
        <v>25</v>
      </c>
      <c r="D31" s="2" t="s">
        <v>9</v>
      </c>
    </row>
    <row r="32" customFormat="false" ht="15" hidden="false" customHeight="false" outlineLevel="0" collapsed="false">
      <c r="A32" s="2" t="n">
        <v>31</v>
      </c>
      <c r="B32" s="2" t="s">
        <v>44</v>
      </c>
      <c r="C32" s="2" t="s">
        <v>29</v>
      </c>
      <c r="D32" s="2" t="s">
        <v>11</v>
      </c>
    </row>
    <row r="33" customFormat="false" ht="15" hidden="false" customHeight="false" outlineLevel="0" collapsed="false">
      <c r="A33" s="2" t="n">
        <v>32</v>
      </c>
      <c r="B33" s="2" t="s">
        <v>45</v>
      </c>
      <c r="C33" s="2" t="s">
        <v>16</v>
      </c>
      <c r="D33" s="2" t="s">
        <v>9</v>
      </c>
    </row>
    <row r="34" customFormat="false" ht="15" hidden="false" customHeight="false" outlineLevel="0" collapsed="false">
      <c r="A34" s="2" t="n">
        <v>33</v>
      </c>
      <c r="B34" s="2" t="s">
        <v>46</v>
      </c>
      <c r="C34" s="2" t="s">
        <v>29</v>
      </c>
      <c r="D34" s="2" t="s">
        <v>11</v>
      </c>
    </row>
    <row r="35" customFormat="false" ht="15" hidden="false" customHeight="false" outlineLevel="0" collapsed="false">
      <c r="A35" s="2" t="n">
        <v>34</v>
      </c>
      <c r="B35" s="2" t="s">
        <v>47</v>
      </c>
      <c r="C35" s="2" t="s">
        <v>25</v>
      </c>
      <c r="D35" s="2" t="s">
        <v>6</v>
      </c>
    </row>
    <row r="36" customFormat="false" ht="15" hidden="false" customHeight="false" outlineLevel="0" collapsed="false">
      <c r="A36" s="2" t="n">
        <v>35</v>
      </c>
      <c r="B36" s="2" t="s">
        <v>48</v>
      </c>
      <c r="C36" s="2" t="s">
        <v>14</v>
      </c>
      <c r="D36" s="2" t="s">
        <v>11</v>
      </c>
    </row>
    <row r="37" customFormat="false" ht="15" hidden="false" customHeight="false" outlineLevel="0" collapsed="false">
      <c r="A37" s="2" t="n">
        <v>36</v>
      </c>
      <c r="B37" s="2" t="s">
        <v>49</v>
      </c>
      <c r="C37" s="2" t="s">
        <v>50</v>
      </c>
      <c r="D37" s="2" t="s">
        <v>11</v>
      </c>
    </row>
    <row r="38" customFormat="false" ht="15" hidden="false" customHeight="false" outlineLevel="0" collapsed="false">
      <c r="A38" s="2" t="n">
        <v>37</v>
      </c>
      <c r="B38" s="2" t="s">
        <v>51</v>
      </c>
      <c r="C38" s="2" t="s">
        <v>50</v>
      </c>
      <c r="D38" s="2" t="s">
        <v>6</v>
      </c>
    </row>
    <row r="39" customFormat="false" ht="15" hidden="false" customHeight="false" outlineLevel="0" collapsed="false">
      <c r="A39" s="2" t="n">
        <v>38</v>
      </c>
      <c r="B39" s="2" t="s">
        <v>52</v>
      </c>
      <c r="C39" s="2" t="s">
        <v>8</v>
      </c>
      <c r="D39" s="2" t="s">
        <v>11</v>
      </c>
    </row>
    <row r="40" customFormat="false" ht="15" hidden="false" customHeight="false" outlineLevel="0" collapsed="false">
      <c r="A40" s="2" t="n">
        <v>39</v>
      </c>
      <c r="B40" s="2" t="s">
        <v>53</v>
      </c>
      <c r="C40" s="2" t="s">
        <v>50</v>
      </c>
      <c r="D40" s="2" t="s">
        <v>19</v>
      </c>
    </row>
    <row r="41" customFormat="false" ht="15" hidden="false" customHeight="false" outlineLevel="0" collapsed="false">
      <c r="A41" s="2" t="n">
        <v>40</v>
      </c>
      <c r="B41" s="2" t="s">
        <v>54</v>
      </c>
      <c r="C41" s="2" t="s">
        <v>50</v>
      </c>
      <c r="D41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2"/>
  </cols>
  <sheetData>
    <row r="1" customFormat="false" ht="15" hidden="false" customHeight="false" outlineLevel="0" collapsed="false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</row>
    <row r="2" customFormat="false" ht="15" hidden="false" customHeight="false" outlineLevel="0" collapsed="false">
      <c r="A2" s="2" t="s">
        <v>60</v>
      </c>
      <c r="B2" s="3" t="n">
        <v>0.003</v>
      </c>
      <c r="C2" s="3" t="n">
        <v>0.005</v>
      </c>
      <c r="D2" s="3" t="n">
        <v>0.012</v>
      </c>
      <c r="E2" s="3" t="n">
        <v>0.009</v>
      </c>
    </row>
    <row r="4" customFormat="false" ht="15" hidden="false" customHeight="false" outlineLevel="0" collapsed="false">
      <c r="A4" s="4" t="s">
        <v>61</v>
      </c>
    </row>
    <row r="5" customFormat="false" ht="15" hidden="false" customHeight="false" outlineLevel="0" collapsed="false">
      <c r="A5" s="5" t="s">
        <v>62</v>
      </c>
      <c r="B5" s="6" t="s">
        <v>58</v>
      </c>
    </row>
    <row r="6" customFormat="false" ht="15" hidden="false" customHeight="false" outlineLevel="0" collapsed="false">
      <c r="A6" s="5" t="s">
        <v>63</v>
      </c>
      <c r="B6" s="7" t="n">
        <f aca="false">IFERROR(HLOOKUP($B$5,$A$1:$E$2,2,FALSE()),"Method not found")</f>
        <v>0.012</v>
      </c>
    </row>
    <row r="7" customFormat="false" ht="15" hidden="false" customHeight="false" outlineLevel="0" collapsed="false">
      <c r="A7" s="5" t="s">
        <v>64</v>
      </c>
      <c r="B7" s="0" t="n">
        <v>999</v>
      </c>
    </row>
    <row r="8" customFormat="false" ht="15" hidden="false" customHeight="false" outlineLevel="0" collapsed="false">
      <c r="A8" s="5" t="s">
        <v>65</v>
      </c>
      <c r="B8" s="8" t="n">
        <f aca="false">B7*B6</f>
        <v>11.988</v>
      </c>
    </row>
    <row r="10" customFormat="false" ht="15" hidden="false" customHeight="false" outlineLevel="0" collapsed="false">
      <c r="A10" s="4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20"/>
  </cols>
  <sheetData>
    <row r="1" customFormat="false" ht="15" hidden="false" customHeight="false" outlineLevel="0" collapsed="false">
      <c r="A1" s="1" t="s">
        <v>67</v>
      </c>
      <c r="B1" s="1" t="s">
        <v>68</v>
      </c>
      <c r="C1" s="1" t="s">
        <v>0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</v>
      </c>
      <c r="K1" s="1" t="s">
        <v>2</v>
      </c>
      <c r="L1" s="1" t="s">
        <v>3</v>
      </c>
      <c r="M1" s="1" t="s">
        <v>75</v>
      </c>
      <c r="N1" s="1" t="s">
        <v>76</v>
      </c>
    </row>
    <row r="2" customFormat="false" ht="15" hidden="false" customHeight="false" outlineLevel="0" collapsed="false">
      <c r="A2" s="2" t="s">
        <v>77</v>
      </c>
      <c r="B2" s="2" t="n">
        <v>350</v>
      </c>
      <c r="C2" s="2" t="n">
        <v>16</v>
      </c>
      <c r="D2" s="9" t="n">
        <v>46051.4673611111</v>
      </c>
      <c r="E2" s="10" t="n">
        <f aca="false">INT(D2)</f>
        <v>46051</v>
      </c>
      <c r="F2" s="2" t="n">
        <v>2999</v>
      </c>
      <c r="G2" s="2" t="s">
        <v>57</v>
      </c>
      <c r="H2" s="2" t="s">
        <v>78</v>
      </c>
      <c r="I2" s="2" t="n">
        <v>85</v>
      </c>
      <c r="J2" s="2" t="str">
        <f aca="false">IFERROR(VLOOKUP($C2,merchants!$A$2:$D$41,2,FALSE()),"Merchant not found")</f>
        <v>Merchant_016</v>
      </c>
      <c r="K2" s="2" t="str">
        <f aca="false">IFERROR(VLOOKUP($C2,merchants!$A$2:$D$41,3,FALSE()),"Merchant not found")</f>
        <v>bill_payment</v>
      </c>
      <c r="L2" s="2" t="str">
        <f aca="false">IFERROR(VLOOKUP($C2,merchants!$A$2:$D$41,4,FALSE()),"Merchant not found")</f>
        <v>West</v>
      </c>
      <c r="M2" s="2" t="n">
        <f aca="false">SUMIFS($F$2:$F$548,$C$2:$C$548,C2,$E$2:$E$548,E2)</f>
        <v>2999</v>
      </c>
      <c r="N2" s="2" t="str">
        <f aca="false">IF(AND(M2&gt;5000,L2&lt;&gt;"East"),"High-Value Merchant Day","No")</f>
        <v>No</v>
      </c>
    </row>
    <row r="3" customFormat="false" ht="15" hidden="false" customHeight="false" outlineLevel="0" collapsed="false">
      <c r="A3" s="2" t="s">
        <v>79</v>
      </c>
      <c r="B3" s="2" t="n">
        <v>287</v>
      </c>
      <c r="C3" s="2" t="n">
        <v>27</v>
      </c>
      <c r="D3" s="9" t="n">
        <v>46026.4923611111</v>
      </c>
      <c r="E3" s="10" t="n">
        <f aca="false">INT(D3)</f>
        <v>46026</v>
      </c>
      <c r="F3" s="2" t="n">
        <v>49</v>
      </c>
      <c r="G3" s="2" t="s">
        <v>56</v>
      </c>
      <c r="H3" s="2" t="s">
        <v>78</v>
      </c>
      <c r="I3" s="2" t="n">
        <v>79</v>
      </c>
      <c r="J3" s="2" t="str">
        <f aca="false">IFERROR(VLOOKUP($C3,merchants!$A$2:$D$41,2,FALSE()),"Merchant not found")</f>
        <v>Merchant_027</v>
      </c>
      <c r="K3" s="2" t="str">
        <f aca="false">IFERROR(VLOOKUP($C3,merchants!$A$2:$D$41,3,FALSE()),"Merchant not found")</f>
        <v>ecommerce</v>
      </c>
      <c r="L3" s="2" t="str">
        <f aca="false">IFERROR(VLOOKUP($C3,merchants!$A$2:$D$41,4,FALSE()),"Merchant not found")</f>
        <v>North</v>
      </c>
      <c r="M3" s="2" t="n">
        <f aca="false">SUMIFS($F$2:$F$548,$C$2:$C$548,C3,$E$2:$E$548,E3)</f>
        <v>49</v>
      </c>
      <c r="N3" s="2" t="str">
        <f aca="false">IF(AND(M3&gt;5000,L3&lt;&gt;"East"),"High-Value Merchant Day","No")</f>
        <v>No</v>
      </c>
    </row>
    <row r="4" customFormat="false" ht="15" hidden="false" customHeight="false" outlineLevel="0" collapsed="false">
      <c r="A4" s="2" t="s">
        <v>80</v>
      </c>
      <c r="B4" s="2" t="n">
        <v>122</v>
      </c>
      <c r="C4" s="2" t="n">
        <v>11</v>
      </c>
      <c r="D4" s="9" t="n">
        <v>46046.2076388889</v>
      </c>
      <c r="E4" s="10" t="n">
        <f aca="false">INT(D4)</f>
        <v>46046</v>
      </c>
      <c r="F4" s="2" t="n">
        <v>1499</v>
      </c>
      <c r="G4" s="2" t="s">
        <v>57</v>
      </c>
      <c r="H4" s="2" t="s">
        <v>78</v>
      </c>
      <c r="I4" s="2" t="n">
        <v>22</v>
      </c>
      <c r="J4" s="2" t="str">
        <f aca="false">IFERROR(VLOOKUP($C4,merchants!$A$2:$D$41,2,FALSE()),"Merchant not found")</f>
        <v>Merchant_011</v>
      </c>
      <c r="K4" s="2" t="str">
        <f aca="false">IFERROR(VLOOKUP($C4,merchants!$A$2:$D$41,3,FALSE()),"Merchant not found")</f>
        <v>ecommerce</v>
      </c>
      <c r="L4" s="2" t="str">
        <f aca="false">IFERROR(VLOOKUP($C4,merchants!$A$2:$D$41,4,FALSE()),"Merchant not found")</f>
        <v>North</v>
      </c>
      <c r="M4" s="2" t="n">
        <f aca="false">SUMIFS($F$2:$F$548,$C$2:$C$548,C4,$E$2:$E$548,E4)</f>
        <v>1798</v>
      </c>
      <c r="N4" s="2" t="str">
        <f aca="false">IF(AND(M4&gt;5000,L4&lt;&gt;"East"),"High-Value Merchant Day","No")</f>
        <v>No</v>
      </c>
    </row>
    <row r="5" customFormat="false" ht="15" hidden="false" customHeight="false" outlineLevel="0" collapsed="false">
      <c r="A5" s="2" t="s">
        <v>81</v>
      </c>
      <c r="B5" s="2" t="n">
        <v>92</v>
      </c>
      <c r="C5" s="2" t="n">
        <v>22</v>
      </c>
      <c r="D5" s="9" t="n">
        <v>46051.5423611111</v>
      </c>
      <c r="E5" s="10" t="n">
        <f aca="false">INT(D5)</f>
        <v>46051</v>
      </c>
      <c r="F5" s="2" t="n">
        <v>49</v>
      </c>
      <c r="G5" s="2" t="s">
        <v>59</v>
      </c>
      <c r="H5" s="2" t="s">
        <v>78</v>
      </c>
      <c r="I5" s="2" t="n">
        <v>100</v>
      </c>
      <c r="J5" s="2" t="str">
        <f aca="false">IFERROR(VLOOKUP($C5,merchants!$A$2:$D$41,2,FALSE()),"Merchant not found")</f>
        <v>Merchant_022</v>
      </c>
      <c r="K5" s="2" t="str">
        <f aca="false">IFERROR(VLOOKUP($C5,merchants!$A$2:$D$41,3,FALSE()),"Merchant not found")</f>
        <v>travel</v>
      </c>
      <c r="L5" s="2" t="str">
        <f aca="false">IFERROR(VLOOKUP($C5,merchants!$A$2:$D$41,4,FALSE()),"Merchant not found")</f>
        <v>South</v>
      </c>
      <c r="M5" s="2" t="n">
        <f aca="false">SUMIFS($F$2:$F$548,$C$2:$C$548,C5,$E$2:$E$548,E5)</f>
        <v>49</v>
      </c>
      <c r="N5" s="2" t="str">
        <f aca="false">IF(AND(M5&gt;5000,L5&lt;&gt;"East"),"High-Value Merchant Day","No")</f>
        <v>No</v>
      </c>
    </row>
    <row r="6" customFormat="false" ht="15" hidden="false" customHeight="false" outlineLevel="0" collapsed="false">
      <c r="A6" s="2" t="s">
        <v>82</v>
      </c>
      <c r="B6" s="2" t="n">
        <v>343</v>
      </c>
      <c r="C6" s="2" t="n">
        <v>16</v>
      </c>
      <c r="D6" s="9" t="n">
        <v>46052.5770833333</v>
      </c>
      <c r="E6" s="10" t="n">
        <f aca="false">INT(D6)</f>
        <v>46052</v>
      </c>
      <c r="F6" s="2" t="n">
        <v>99</v>
      </c>
      <c r="G6" s="2" t="s">
        <v>56</v>
      </c>
      <c r="H6" s="2" t="s">
        <v>78</v>
      </c>
      <c r="I6" s="2" t="n">
        <v>34</v>
      </c>
      <c r="J6" s="2" t="str">
        <f aca="false">IFERROR(VLOOKUP($C6,merchants!$A$2:$D$41,2,FALSE()),"Merchant not found")</f>
        <v>Merchant_016</v>
      </c>
      <c r="K6" s="2" t="str">
        <f aca="false">IFERROR(VLOOKUP($C6,merchants!$A$2:$D$41,3,FALSE()),"Merchant not found")</f>
        <v>bill_payment</v>
      </c>
      <c r="L6" s="2" t="str">
        <f aca="false">IFERROR(VLOOKUP($C6,merchants!$A$2:$D$41,4,FALSE()),"Merchant not found")</f>
        <v>West</v>
      </c>
      <c r="M6" s="2" t="n">
        <f aca="false">SUMIFS($F$2:$F$548,$C$2:$C$548,C6,$E$2:$E$548,E6)</f>
        <v>898</v>
      </c>
      <c r="N6" s="2" t="str">
        <f aca="false">IF(AND(M6&gt;5000,L6&lt;&gt;"East"),"High-Value Merchant Day","No")</f>
        <v>No</v>
      </c>
    </row>
    <row r="7" customFormat="false" ht="15" hidden="false" customHeight="false" outlineLevel="0" collapsed="false">
      <c r="A7" s="2" t="s">
        <v>83</v>
      </c>
      <c r="B7" s="2" t="n">
        <v>196</v>
      </c>
      <c r="C7" s="2" t="n">
        <v>3</v>
      </c>
      <c r="D7" s="9" t="n">
        <v>46028.9208333333</v>
      </c>
      <c r="E7" s="10" t="n">
        <f aca="false">INT(D7)</f>
        <v>46028</v>
      </c>
      <c r="F7" s="2" t="n">
        <v>99</v>
      </c>
      <c r="G7" s="2" t="s">
        <v>56</v>
      </c>
      <c r="H7" s="2" t="s">
        <v>78</v>
      </c>
      <c r="I7" s="2" t="n">
        <v>60</v>
      </c>
      <c r="J7" s="2" t="str">
        <f aca="false">IFERROR(VLOOKUP($C7,merchants!$A$2:$D$41,2,FALSE()),"Merchant not found")</f>
        <v>Merchant_003</v>
      </c>
      <c r="K7" s="2" t="str">
        <f aca="false">IFERROR(VLOOKUP($C7,merchants!$A$2:$D$41,3,FALSE()),"Merchant not found")</f>
        <v>grocery</v>
      </c>
      <c r="L7" s="2" t="str">
        <f aca="false">IFERROR(VLOOKUP($C7,merchants!$A$2:$D$41,4,FALSE()),"Merchant not found")</f>
        <v>East</v>
      </c>
      <c r="M7" s="2" t="n">
        <f aca="false">SUMIFS($F$2:$F$548,$C$2:$C$548,C7,$E$2:$E$548,E7)</f>
        <v>898</v>
      </c>
      <c r="N7" s="2" t="str">
        <f aca="false">IF(AND(M7&gt;5000,L7&lt;&gt;"East"),"High-Value Merchant Day","No")</f>
        <v>No</v>
      </c>
    </row>
    <row r="8" customFormat="false" ht="15" hidden="false" customHeight="false" outlineLevel="0" collapsed="false">
      <c r="A8" s="2" t="s">
        <v>84</v>
      </c>
      <c r="B8" s="2" t="n">
        <v>236</v>
      </c>
      <c r="C8" s="2" t="n">
        <v>23</v>
      </c>
      <c r="D8" s="9" t="n">
        <v>46030.2861111111</v>
      </c>
      <c r="E8" s="10" t="n">
        <f aca="false">INT(D8)</f>
        <v>46030</v>
      </c>
      <c r="F8" s="2" t="n">
        <v>99</v>
      </c>
      <c r="G8" s="2" t="s">
        <v>57</v>
      </c>
      <c r="H8" s="2" t="s">
        <v>78</v>
      </c>
      <c r="I8" s="2" t="n">
        <v>39</v>
      </c>
      <c r="J8" s="2" t="str">
        <f aca="false">IFERROR(VLOOKUP($C8,merchants!$A$2:$D$41,2,FALSE()),"Merchant not found")</f>
        <v>Merchant_023</v>
      </c>
      <c r="K8" s="2" t="str">
        <f aca="false">IFERROR(VLOOKUP($C8,merchants!$A$2:$D$41,3,FALSE()),"Merchant not found")</f>
        <v>travel</v>
      </c>
      <c r="L8" s="2" t="str">
        <f aca="false">IFERROR(VLOOKUP($C8,merchants!$A$2:$D$41,4,FALSE()),"Merchant not found")</f>
        <v>North</v>
      </c>
      <c r="M8" s="2" t="n">
        <f aca="false">SUMIFS($F$2:$F$548,$C$2:$C$548,C8,$E$2:$E$548,E8)</f>
        <v>99</v>
      </c>
      <c r="N8" s="2" t="str">
        <f aca="false">IF(AND(M8&gt;5000,L8&lt;&gt;"East"),"High-Value Merchant Day","No")</f>
        <v>No</v>
      </c>
    </row>
    <row r="9" customFormat="false" ht="15" hidden="false" customHeight="false" outlineLevel="0" collapsed="false">
      <c r="A9" s="2" t="s">
        <v>85</v>
      </c>
      <c r="B9" s="2" t="n">
        <v>13</v>
      </c>
      <c r="C9" s="2" t="n">
        <v>13</v>
      </c>
      <c r="D9" s="9" t="n">
        <v>46049.3013888889</v>
      </c>
      <c r="E9" s="10" t="n">
        <f aca="false">INT(D9)</f>
        <v>46049</v>
      </c>
      <c r="F9" s="2" t="n">
        <v>99</v>
      </c>
      <c r="G9" s="2" t="s">
        <v>56</v>
      </c>
      <c r="H9" s="2" t="s">
        <v>78</v>
      </c>
      <c r="I9" s="2" t="n">
        <v>51</v>
      </c>
      <c r="J9" s="2" t="str">
        <f aca="false">IFERROR(VLOOKUP($C9,merchants!$A$2:$D$41,2,FALSE()),"Merchant not found")</f>
        <v>Merchant_013</v>
      </c>
      <c r="K9" s="2" t="str">
        <f aca="false">IFERROR(VLOOKUP($C9,merchants!$A$2:$D$41,3,FALSE()),"Merchant not found")</f>
        <v>travel</v>
      </c>
      <c r="L9" s="2" t="str">
        <f aca="false">IFERROR(VLOOKUP($C9,merchants!$A$2:$D$41,4,FALSE()),"Merchant not found")</f>
        <v>East</v>
      </c>
      <c r="M9" s="2" t="n">
        <f aca="false">SUMIFS($F$2:$F$548,$C$2:$C$548,C9,$E$2:$E$548,E9)</f>
        <v>99</v>
      </c>
      <c r="N9" s="2" t="str">
        <f aca="false">IF(AND(M9&gt;5000,L9&lt;&gt;"East"),"High-Value Merchant Day","No")</f>
        <v>No</v>
      </c>
    </row>
    <row r="10" customFormat="false" ht="15" hidden="false" customHeight="false" outlineLevel="0" collapsed="false">
      <c r="A10" s="2" t="s">
        <v>86</v>
      </c>
      <c r="B10" s="2" t="n">
        <v>36</v>
      </c>
      <c r="C10" s="2" t="n">
        <v>18</v>
      </c>
      <c r="D10" s="9" t="n">
        <v>46033.3715277778</v>
      </c>
      <c r="E10" s="10" t="n">
        <f aca="false">INT(D10)</f>
        <v>46033</v>
      </c>
      <c r="F10" s="2" t="n">
        <v>799</v>
      </c>
      <c r="G10" s="2" t="s">
        <v>56</v>
      </c>
      <c r="H10" s="2" t="s">
        <v>78</v>
      </c>
      <c r="I10" s="2" t="n">
        <v>44</v>
      </c>
      <c r="J10" s="2" t="str">
        <f aca="false">IFERROR(VLOOKUP($C10,merchants!$A$2:$D$41,2,FALSE()),"Merchant not found")</f>
        <v>Merchant_018</v>
      </c>
      <c r="K10" s="2" t="str">
        <f aca="false">IFERROR(VLOOKUP($C10,merchants!$A$2:$D$41,3,FALSE()),"Merchant not found")</f>
        <v>grocery</v>
      </c>
      <c r="L10" s="2" t="str">
        <f aca="false">IFERROR(VLOOKUP($C10,merchants!$A$2:$D$41,4,FALSE()),"Merchant not found")</f>
        <v>West</v>
      </c>
      <c r="M10" s="2" t="n">
        <f aca="false">SUMIFS($F$2:$F$548,$C$2:$C$548,C10,$E$2:$E$548,E10)</f>
        <v>799</v>
      </c>
      <c r="N10" s="2" t="str">
        <f aca="false">IF(AND(M10&gt;5000,L10&lt;&gt;"East"),"High-Value Merchant Day","No")</f>
        <v>No</v>
      </c>
    </row>
    <row r="11" customFormat="false" ht="15" hidden="false" customHeight="false" outlineLevel="0" collapsed="false">
      <c r="A11" s="2" t="s">
        <v>87</v>
      </c>
      <c r="B11" s="2" t="n">
        <v>348</v>
      </c>
      <c r="C11" s="2" t="n">
        <v>35</v>
      </c>
      <c r="D11" s="9" t="n">
        <v>46043.6840277778</v>
      </c>
      <c r="E11" s="10" t="n">
        <f aca="false">INT(D11)</f>
        <v>46043</v>
      </c>
      <c r="F11" s="2" t="n">
        <v>299</v>
      </c>
      <c r="G11" s="2" t="s">
        <v>56</v>
      </c>
      <c r="H11" s="2" t="s">
        <v>78</v>
      </c>
      <c r="I11" s="2" t="n">
        <v>42</v>
      </c>
      <c r="J11" s="2" t="str">
        <f aca="false">IFERROR(VLOOKUP($C11,merchants!$A$2:$D$41,2,FALSE()),"Merchant not found")</f>
        <v>Merchant_035</v>
      </c>
      <c r="K11" s="2" t="str">
        <f aca="false">IFERROR(VLOOKUP($C11,merchants!$A$2:$D$41,3,FALSE()),"Merchant not found")</f>
        <v>recharge</v>
      </c>
      <c r="L11" s="2" t="str">
        <f aca="false">IFERROR(VLOOKUP($C11,merchants!$A$2:$D$41,4,FALSE()),"Merchant not found")</f>
        <v>East</v>
      </c>
      <c r="M11" s="2" t="n">
        <f aca="false">SUMIFS($F$2:$F$548,$C$2:$C$548,C11,$E$2:$E$548,E11)</f>
        <v>299</v>
      </c>
      <c r="N11" s="2" t="str">
        <f aca="false">IF(AND(M11&gt;5000,L11&lt;&gt;"East"),"High-Value Merchant Day","No")</f>
        <v>No</v>
      </c>
    </row>
    <row r="12" customFormat="false" ht="15" hidden="false" customHeight="false" outlineLevel="0" collapsed="false">
      <c r="A12" s="2" t="s">
        <v>88</v>
      </c>
      <c r="B12" s="2" t="n">
        <v>134</v>
      </c>
      <c r="C12" s="2" t="n">
        <v>12</v>
      </c>
      <c r="D12" s="9" t="n">
        <v>46023.1638888889</v>
      </c>
      <c r="E12" s="10" t="n">
        <f aca="false">INT(D12)</f>
        <v>46023</v>
      </c>
      <c r="F12" s="2" t="n">
        <v>49</v>
      </c>
      <c r="G12" s="2" t="s">
        <v>56</v>
      </c>
      <c r="H12" s="2" t="s">
        <v>78</v>
      </c>
      <c r="I12" s="2" t="n">
        <v>74</v>
      </c>
      <c r="J12" s="2" t="str">
        <f aca="false">IFERROR(VLOOKUP($C12,merchants!$A$2:$D$41,2,FALSE()),"Merchant not found")</f>
        <v>Merchant_012</v>
      </c>
      <c r="K12" s="2" t="str">
        <f aca="false">IFERROR(VLOOKUP($C12,merchants!$A$2:$D$41,3,FALSE()),"Merchant not found")</f>
        <v>ecommerce</v>
      </c>
      <c r="L12" s="2" t="str">
        <f aca="false">IFERROR(VLOOKUP($C12,merchants!$A$2:$D$41,4,FALSE()),"Merchant not found")</f>
        <v>East</v>
      </c>
      <c r="M12" s="2" t="n">
        <f aca="false">SUMIFS($F$2:$F$548,$C$2:$C$548,C12,$E$2:$E$548,E12)</f>
        <v>548</v>
      </c>
      <c r="N12" s="2" t="str">
        <f aca="false">IF(AND(M12&gt;5000,L12&lt;&gt;"East"),"High-Value Merchant Day","No")</f>
        <v>No</v>
      </c>
    </row>
    <row r="13" customFormat="false" ht="15" hidden="false" customHeight="false" outlineLevel="0" collapsed="false">
      <c r="A13" s="2" t="s">
        <v>89</v>
      </c>
      <c r="B13" s="2" t="n">
        <v>306</v>
      </c>
      <c r="C13" s="2" t="n">
        <v>28</v>
      </c>
      <c r="D13" s="9" t="n">
        <v>46031.0458333333</v>
      </c>
      <c r="E13" s="10" t="n">
        <f aca="false">INT(D13)</f>
        <v>46031</v>
      </c>
      <c r="F13" s="2" t="n">
        <v>2999</v>
      </c>
      <c r="G13" s="2" t="s">
        <v>58</v>
      </c>
      <c r="H13" s="2" t="s">
        <v>90</v>
      </c>
      <c r="I13" s="2" t="n">
        <v>44</v>
      </c>
      <c r="J13" s="2" t="str">
        <f aca="false">IFERROR(VLOOKUP($C13,merchants!$A$2:$D$41,2,FALSE()),"Merchant not found")</f>
        <v>Merchant_028</v>
      </c>
      <c r="K13" s="2" t="str">
        <f aca="false">IFERROR(VLOOKUP($C13,merchants!$A$2:$D$41,3,FALSE()),"Merchant not found")</f>
        <v>ecommerce</v>
      </c>
      <c r="L13" s="2" t="str">
        <f aca="false">IFERROR(VLOOKUP($C13,merchants!$A$2:$D$41,4,FALSE()),"Merchant not found")</f>
        <v>South</v>
      </c>
      <c r="M13" s="2" t="n">
        <f aca="false">SUMIFS($F$2:$F$548,$C$2:$C$548,C13,$E$2:$E$548,E13)</f>
        <v>2999</v>
      </c>
      <c r="N13" s="2" t="str">
        <f aca="false">IF(AND(M13&gt;5000,L13&lt;&gt;"East"),"High-Value Merchant Day","No")</f>
        <v>No</v>
      </c>
    </row>
    <row r="14" customFormat="false" ht="15" hidden="false" customHeight="false" outlineLevel="0" collapsed="false">
      <c r="A14" s="2" t="s">
        <v>91</v>
      </c>
      <c r="B14" s="2" t="n">
        <v>311</v>
      </c>
      <c r="C14" s="2" t="n">
        <v>33</v>
      </c>
      <c r="D14" s="9" t="n">
        <v>46046.4354166667</v>
      </c>
      <c r="E14" s="10" t="n">
        <f aca="false">INT(D14)</f>
        <v>46046</v>
      </c>
      <c r="F14" s="2" t="n">
        <v>49</v>
      </c>
      <c r="G14" s="2" t="s">
        <v>57</v>
      </c>
      <c r="H14" s="2" t="s">
        <v>78</v>
      </c>
      <c r="I14" s="2" t="n">
        <v>14</v>
      </c>
      <c r="J14" s="2" t="str">
        <f aca="false">IFERROR(VLOOKUP($C14,merchants!$A$2:$D$41,2,FALSE()),"Merchant not found")</f>
        <v>Merchant_033</v>
      </c>
      <c r="K14" s="2" t="str">
        <f aca="false">IFERROR(VLOOKUP($C14,merchants!$A$2:$D$41,3,FALSE()),"Merchant not found")</f>
        <v>bill_payment</v>
      </c>
      <c r="L14" s="2" t="str">
        <f aca="false">IFERROR(VLOOKUP($C14,merchants!$A$2:$D$41,4,FALSE()),"Merchant not found")</f>
        <v>East</v>
      </c>
      <c r="M14" s="2" t="n">
        <f aca="false">SUMIFS($F$2:$F$548,$C$2:$C$548,C14,$E$2:$E$548,E14)</f>
        <v>49</v>
      </c>
      <c r="N14" s="2" t="str">
        <f aca="false">IF(AND(M14&gt;5000,L14&lt;&gt;"East"),"High-Value Merchant Day","No")</f>
        <v>No</v>
      </c>
    </row>
    <row r="15" customFormat="false" ht="15" hidden="false" customHeight="false" outlineLevel="0" collapsed="false">
      <c r="A15" s="2" t="s">
        <v>92</v>
      </c>
      <c r="B15" s="2" t="n">
        <v>131</v>
      </c>
      <c r="C15" s="2" t="n">
        <v>3</v>
      </c>
      <c r="D15" s="9" t="n">
        <v>46035.7583333333</v>
      </c>
      <c r="E15" s="10" t="n">
        <f aca="false">INT(D15)</f>
        <v>46035</v>
      </c>
      <c r="F15" s="2" t="n">
        <v>49</v>
      </c>
      <c r="G15" s="2" t="s">
        <v>56</v>
      </c>
      <c r="H15" s="2" t="s">
        <v>78</v>
      </c>
      <c r="I15" s="2" t="n">
        <v>90</v>
      </c>
      <c r="J15" s="2" t="str">
        <f aca="false">IFERROR(VLOOKUP($C15,merchants!$A$2:$D$41,2,FALSE()),"Merchant not found")</f>
        <v>Merchant_003</v>
      </c>
      <c r="K15" s="2" t="str">
        <f aca="false">IFERROR(VLOOKUP($C15,merchants!$A$2:$D$41,3,FALSE()),"Merchant not found")</f>
        <v>grocery</v>
      </c>
      <c r="L15" s="2" t="str">
        <f aca="false">IFERROR(VLOOKUP($C15,merchants!$A$2:$D$41,4,FALSE()),"Merchant not found")</f>
        <v>East</v>
      </c>
      <c r="M15" s="2" t="n">
        <f aca="false">SUMIFS($F$2:$F$548,$C$2:$C$548,C15,$E$2:$E$548,E15)</f>
        <v>198</v>
      </c>
      <c r="N15" s="2" t="str">
        <f aca="false">IF(AND(M15&gt;5000,L15&lt;&gt;"East"),"High-Value Merchant Day","No")</f>
        <v>No</v>
      </c>
    </row>
    <row r="16" customFormat="false" ht="15" hidden="false" customHeight="false" outlineLevel="0" collapsed="false">
      <c r="A16" s="2" t="s">
        <v>93</v>
      </c>
      <c r="B16" s="2" t="n">
        <v>276</v>
      </c>
      <c r="C16" s="2" t="n">
        <v>13</v>
      </c>
      <c r="D16" s="9" t="n">
        <v>46036.0229166667</v>
      </c>
      <c r="E16" s="10" t="n">
        <f aca="false">INT(D16)</f>
        <v>46036</v>
      </c>
      <c r="F16" s="2" t="n">
        <v>1499</v>
      </c>
      <c r="G16" s="2" t="s">
        <v>56</v>
      </c>
      <c r="H16" s="2" t="s">
        <v>78</v>
      </c>
      <c r="I16" s="2" t="n">
        <v>46</v>
      </c>
      <c r="J16" s="2" t="str">
        <f aca="false">IFERROR(VLOOKUP($C16,merchants!$A$2:$D$41,2,FALSE()),"Merchant not found")</f>
        <v>Merchant_013</v>
      </c>
      <c r="K16" s="2" t="str">
        <f aca="false">IFERROR(VLOOKUP($C16,merchants!$A$2:$D$41,3,FALSE()),"Merchant not found")</f>
        <v>travel</v>
      </c>
      <c r="L16" s="2" t="str">
        <f aca="false">IFERROR(VLOOKUP($C16,merchants!$A$2:$D$41,4,FALSE()),"Merchant not found")</f>
        <v>East</v>
      </c>
      <c r="M16" s="2" t="n">
        <f aca="false">SUMIFS($F$2:$F$548,$C$2:$C$548,C16,$E$2:$E$548,E16)</f>
        <v>1499</v>
      </c>
      <c r="N16" s="2" t="str">
        <f aca="false">IF(AND(M16&gt;5000,L16&lt;&gt;"East"),"High-Value Merchant Day","No")</f>
        <v>No</v>
      </c>
    </row>
    <row r="17" customFormat="false" ht="15" hidden="false" customHeight="false" outlineLevel="0" collapsed="false">
      <c r="A17" s="2" t="s">
        <v>94</v>
      </c>
      <c r="B17" s="2" t="n">
        <v>170</v>
      </c>
      <c r="C17" s="2" t="n">
        <v>40</v>
      </c>
      <c r="D17" s="9" t="n">
        <v>46036.1125</v>
      </c>
      <c r="E17" s="10" t="n">
        <f aca="false">INT(D17)</f>
        <v>46036</v>
      </c>
      <c r="F17" s="2" t="n">
        <v>99</v>
      </c>
      <c r="G17" s="2" t="s">
        <v>56</v>
      </c>
      <c r="H17" s="2" t="s">
        <v>78</v>
      </c>
      <c r="I17" s="2" t="n">
        <v>40</v>
      </c>
      <c r="J17" s="2" t="str">
        <f aca="false">IFERROR(VLOOKUP($C17,merchants!$A$2:$D$41,2,FALSE()),"Merchant not found")</f>
        <v>Merchant_040</v>
      </c>
      <c r="K17" s="2" t="str">
        <f aca="false">IFERROR(VLOOKUP($C17,merchants!$A$2:$D$41,3,FALSE()),"Merchant not found")</f>
        <v>entertainment</v>
      </c>
      <c r="L17" s="2" t="str">
        <f aca="false">IFERROR(VLOOKUP($C17,merchants!$A$2:$D$41,4,FALSE()),"Merchant not found")</f>
        <v>South</v>
      </c>
      <c r="M17" s="2" t="n">
        <f aca="false">SUMIFS($F$2:$F$548,$C$2:$C$548,C17,$E$2:$E$548,E17)</f>
        <v>99</v>
      </c>
      <c r="N17" s="2" t="str">
        <f aca="false">IF(AND(M17&gt;5000,L17&lt;&gt;"East"),"High-Value Merchant Day","No")</f>
        <v>No</v>
      </c>
    </row>
    <row r="18" customFormat="false" ht="15" hidden="false" customHeight="false" outlineLevel="0" collapsed="false">
      <c r="A18" s="2" t="s">
        <v>95</v>
      </c>
      <c r="B18" s="2" t="n">
        <v>154</v>
      </c>
      <c r="C18" s="2" t="n">
        <v>33</v>
      </c>
      <c r="D18" s="9" t="n">
        <v>46044.1569444445</v>
      </c>
      <c r="E18" s="10" t="n">
        <f aca="false">INT(D18)</f>
        <v>46044</v>
      </c>
      <c r="F18" s="2" t="n">
        <v>99</v>
      </c>
      <c r="G18" s="2" t="s">
        <v>59</v>
      </c>
      <c r="H18" s="2" t="s">
        <v>78</v>
      </c>
      <c r="I18" s="2" t="n">
        <v>39</v>
      </c>
      <c r="J18" s="2" t="str">
        <f aca="false">IFERROR(VLOOKUP($C18,merchants!$A$2:$D$41,2,FALSE()),"Merchant not found")</f>
        <v>Merchant_033</v>
      </c>
      <c r="K18" s="2" t="str">
        <f aca="false">IFERROR(VLOOKUP($C18,merchants!$A$2:$D$41,3,FALSE()),"Merchant not found")</f>
        <v>bill_payment</v>
      </c>
      <c r="L18" s="2" t="str">
        <f aca="false">IFERROR(VLOOKUP($C18,merchants!$A$2:$D$41,4,FALSE()),"Merchant not found")</f>
        <v>East</v>
      </c>
      <c r="M18" s="2" t="n">
        <f aca="false">SUMIFS($F$2:$F$548,$C$2:$C$548,C18,$E$2:$E$548,E18)</f>
        <v>99</v>
      </c>
      <c r="N18" s="2" t="str">
        <f aca="false">IF(AND(M18&gt;5000,L18&lt;&gt;"East"),"High-Value Merchant Day","No")</f>
        <v>No</v>
      </c>
    </row>
    <row r="19" customFormat="false" ht="15" hidden="false" customHeight="false" outlineLevel="0" collapsed="false">
      <c r="A19" s="2" t="s">
        <v>96</v>
      </c>
      <c r="B19" s="2" t="n">
        <v>207</v>
      </c>
      <c r="C19" s="2" t="n">
        <v>19</v>
      </c>
      <c r="D19" s="9" t="n">
        <v>46044.5555555556</v>
      </c>
      <c r="E19" s="10" t="n">
        <f aca="false">INT(D19)</f>
        <v>46044</v>
      </c>
      <c r="F19" s="2" t="n">
        <v>2999</v>
      </c>
      <c r="G19" s="2" t="s">
        <v>58</v>
      </c>
      <c r="H19" s="2" t="s">
        <v>78</v>
      </c>
      <c r="I19" s="2" t="n">
        <v>70</v>
      </c>
      <c r="J19" s="2" t="str">
        <f aca="false">IFERROR(VLOOKUP($C19,merchants!$A$2:$D$41,2,FALSE()),"Merchant not found")</f>
        <v>Merchant_019</v>
      </c>
      <c r="K19" s="2" t="str">
        <f aca="false">IFERROR(VLOOKUP($C19,merchants!$A$2:$D$41,3,FALSE()),"Merchant not found")</f>
        <v>grocery</v>
      </c>
      <c r="L19" s="2" t="str">
        <f aca="false">IFERROR(VLOOKUP($C19,merchants!$A$2:$D$41,4,FALSE()),"Merchant not found")</f>
        <v>North</v>
      </c>
      <c r="M19" s="2" t="n">
        <f aca="false">SUMIFS($F$2:$F$548,$C$2:$C$548,C19,$E$2:$E$548,E19)</f>
        <v>2999</v>
      </c>
      <c r="N19" s="2" t="str">
        <f aca="false">IF(AND(M19&gt;5000,L19&lt;&gt;"East"),"High-Value Merchant Day","No")</f>
        <v>No</v>
      </c>
    </row>
    <row r="20" customFormat="false" ht="15" hidden="false" customHeight="false" outlineLevel="0" collapsed="false">
      <c r="A20" s="2" t="s">
        <v>97</v>
      </c>
      <c r="B20" s="2" t="n">
        <v>341</v>
      </c>
      <c r="C20" s="2" t="n">
        <v>25</v>
      </c>
      <c r="D20" s="9" t="n">
        <v>46027.2680555556</v>
      </c>
      <c r="E20" s="10" t="n">
        <f aca="false">INT(D20)</f>
        <v>46027</v>
      </c>
      <c r="F20" s="2" t="n">
        <v>2999</v>
      </c>
      <c r="G20" s="2" t="s">
        <v>56</v>
      </c>
      <c r="H20" s="2" t="s">
        <v>78</v>
      </c>
      <c r="I20" s="2" t="n">
        <v>86</v>
      </c>
      <c r="J20" s="2" t="str">
        <f aca="false">IFERROR(VLOOKUP($C20,merchants!$A$2:$D$41,2,FALSE()),"Merchant not found")</f>
        <v>Merchant_025</v>
      </c>
      <c r="K20" s="2" t="str">
        <f aca="false">IFERROR(VLOOKUP($C20,merchants!$A$2:$D$41,3,FALSE()),"Merchant not found")</f>
        <v>travel</v>
      </c>
      <c r="L20" s="2" t="str">
        <f aca="false">IFERROR(VLOOKUP($C20,merchants!$A$2:$D$41,4,FALSE()),"Merchant not found")</f>
        <v>South</v>
      </c>
      <c r="M20" s="2" t="n">
        <f aca="false">SUMIFS($F$2:$F$548,$C$2:$C$548,C20,$E$2:$E$548,E20)</f>
        <v>4498</v>
      </c>
      <c r="N20" s="2" t="str">
        <f aca="false">IF(AND(M20&gt;5000,L20&lt;&gt;"East"),"High-Value Merchant Day","No")</f>
        <v>No</v>
      </c>
    </row>
    <row r="21" customFormat="false" ht="15" hidden="false" customHeight="false" outlineLevel="0" collapsed="false">
      <c r="A21" s="2" t="s">
        <v>98</v>
      </c>
      <c r="B21" s="2" t="n">
        <v>292</v>
      </c>
      <c r="C21" s="2" t="n">
        <v>20</v>
      </c>
      <c r="D21" s="9" t="n">
        <v>46046.2354166667</v>
      </c>
      <c r="E21" s="10" t="n">
        <f aca="false">INT(D21)</f>
        <v>46046</v>
      </c>
      <c r="F21" s="2" t="n">
        <v>49</v>
      </c>
      <c r="G21" s="2" t="s">
        <v>56</v>
      </c>
      <c r="H21" s="2" t="s">
        <v>78</v>
      </c>
      <c r="I21" s="2" t="n">
        <v>51</v>
      </c>
      <c r="J21" s="2" t="str">
        <f aca="false">IFERROR(VLOOKUP($C21,merchants!$A$2:$D$41,2,FALSE()),"Merchant not found")</f>
        <v>Merchant_020</v>
      </c>
      <c r="K21" s="2" t="str">
        <f aca="false">IFERROR(VLOOKUP($C21,merchants!$A$2:$D$41,3,FALSE()),"Merchant not found")</f>
        <v>food_delivery</v>
      </c>
      <c r="L21" s="2" t="str">
        <f aca="false">IFERROR(VLOOKUP($C21,merchants!$A$2:$D$41,4,FALSE()),"Merchant not found")</f>
        <v>East</v>
      </c>
      <c r="M21" s="2" t="n">
        <f aca="false">SUMIFS($F$2:$F$548,$C$2:$C$548,C21,$E$2:$E$548,E21)</f>
        <v>49</v>
      </c>
      <c r="N21" s="2" t="str">
        <f aca="false">IF(AND(M21&gt;5000,L21&lt;&gt;"East"),"High-Value Merchant Day","No")</f>
        <v>No</v>
      </c>
    </row>
    <row r="22" customFormat="false" ht="15" hidden="false" customHeight="false" outlineLevel="0" collapsed="false">
      <c r="A22" s="2" t="s">
        <v>99</v>
      </c>
      <c r="B22" s="2" t="n">
        <v>147</v>
      </c>
      <c r="C22" s="2" t="n">
        <v>14</v>
      </c>
      <c r="D22" s="9" t="n">
        <v>46040.0131944444</v>
      </c>
      <c r="E22" s="10" t="n">
        <f aca="false">INT(D22)</f>
        <v>46040</v>
      </c>
      <c r="F22" s="2" t="n">
        <v>99</v>
      </c>
      <c r="G22" s="2" t="s">
        <v>58</v>
      </c>
      <c r="H22" s="2" t="s">
        <v>78</v>
      </c>
      <c r="I22" s="2" t="n">
        <v>55</v>
      </c>
      <c r="J22" s="2" t="str">
        <f aca="false">IFERROR(VLOOKUP($C22,merchants!$A$2:$D$41,2,FALSE()),"Merchant not found")</f>
        <v>Merchant_014</v>
      </c>
      <c r="K22" s="2" t="str">
        <f aca="false">IFERROR(VLOOKUP($C22,merchants!$A$2:$D$41,3,FALSE()),"Merchant not found")</f>
        <v>grocery</v>
      </c>
      <c r="L22" s="2" t="str">
        <f aca="false">IFERROR(VLOOKUP($C22,merchants!$A$2:$D$41,4,FALSE()),"Merchant not found")</f>
        <v>East</v>
      </c>
      <c r="M22" s="2" t="n">
        <f aca="false">SUMIFS($F$2:$F$548,$C$2:$C$548,C22,$E$2:$E$548,E22)</f>
        <v>99</v>
      </c>
      <c r="N22" s="2" t="str">
        <f aca="false">IF(AND(M22&gt;5000,L22&lt;&gt;"East"),"High-Value Merchant Day","No")</f>
        <v>No</v>
      </c>
    </row>
    <row r="23" customFormat="false" ht="15" hidden="false" customHeight="false" outlineLevel="0" collapsed="false">
      <c r="A23" s="2" t="s">
        <v>100</v>
      </c>
      <c r="B23" s="2" t="n">
        <v>336</v>
      </c>
      <c r="C23" s="2" t="n">
        <v>21</v>
      </c>
      <c r="D23" s="9" t="n">
        <v>46048.7763888889</v>
      </c>
      <c r="E23" s="10" t="n">
        <f aca="false">INT(D23)</f>
        <v>46048</v>
      </c>
      <c r="F23" s="2" t="n">
        <v>99</v>
      </c>
      <c r="G23" s="2" t="s">
        <v>56</v>
      </c>
      <c r="H23" s="2" t="s">
        <v>78</v>
      </c>
      <c r="I23" s="2" t="n">
        <v>59</v>
      </c>
      <c r="J23" s="2" t="str">
        <f aca="false">IFERROR(VLOOKUP($C23,merchants!$A$2:$D$41,2,FALSE()),"Merchant not found")</f>
        <v>Merchant_021</v>
      </c>
      <c r="K23" s="2" t="str">
        <f aca="false">IFERROR(VLOOKUP($C23,merchants!$A$2:$D$41,3,FALSE()),"Merchant not found")</f>
        <v>food_delivery</v>
      </c>
      <c r="L23" s="2" t="str">
        <f aca="false">IFERROR(VLOOKUP($C23,merchants!$A$2:$D$41,4,FALSE()),"Merchant not found")</f>
        <v>East</v>
      </c>
      <c r="M23" s="2" t="n">
        <f aca="false">SUMIFS($F$2:$F$548,$C$2:$C$548,C23,$E$2:$E$548,E23)</f>
        <v>99</v>
      </c>
      <c r="N23" s="2" t="str">
        <f aca="false">IF(AND(M23&gt;5000,L23&lt;&gt;"East"),"High-Value Merchant Day","No")</f>
        <v>No</v>
      </c>
    </row>
    <row r="24" customFormat="false" ht="15" hidden="false" customHeight="false" outlineLevel="0" collapsed="false">
      <c r="A24" s="2" t="s">
        <v>101</v>
      </c>
      <c r="B24" s="2" t="n">
        <v>110</v>
      </c>
      <c r="C24" s="2" t="n">
        <v>33</v>
      </c>
      <c r="D24" s="9" t="n">
        <v>46037.6131944444</v>
      </c>
      <c r="E24" s="10" t="n">
        <f aca="false">INT(D24)</f>
        <v>46037</v>
      </c>
      <c r="F24" s="2" t="n">
        <v>799</v>
      </c>
      <c r="G24" s="2" t="s">
        <v>56</v>
      </c>
      <c r="H24" s="2" t="s">
        <v>78</v>
      </c>
      <c r="I24" s="2" t="n">
        <v>60</v>
      </c>
      <c r="J24" s="2" t="str">
        <f aca="false">IFERROR(VLOOKUP($C24,merchants!$A$2:$D$41,2,FALSE()),"Merchant not found")</f>
        <v>Merchant_033</v>
      </c>
      <c r="K24" s="2" t="str">
        <f aca="false">IFERROR(VLOOKUP($C24,merchants!$A$2:$D$41,3,FALSE()),"Merchant not found")</f>
        <v>bill_payment</v>
      </c>
      <c r="L24" s="2" t="str">
        <f aca="false">IFERROR(VLOOKUP($C24,merchants!$A$2:$D$41,4,FALSE()),"Merchant not found")</f>
        <v>East</v>
      </c>
      <c r="M24" s="2" t="n">
        <f aca="false">SUMIFS($F$2:$F$548,$C$2:$C$548,C24,$E$2:$E$548,E24)</f>
        <v>799</v>
      </c>
      <c r="N24" s="2" t="str">
        <f aca="false">IF(AND(M24&gt;5000,L24&lt;&gt;"East"),"High-Value Merchant Day","No")</f>
        <v>No</v>
      </c>
    </row>
    <row r="25" customFormat="false" ht="15" hidden="false" customHeight="false" outlineLevel="0" collapsed="false">
      <c r="A25" s="2" t="s">
        <v>102</v>
      </c>
      <c r="B25" s="2" t="n">
        <v>338</v>
      </c>
      <c r="C25" s="2" t="n">
        <v>6</v>
      </c>
      <c r="D25" s="9" t="n">
        <v>46048.9652777778</v>
      </c>
      <c r="E25" s="10" t="n">
        <f aca="false">INT(D25)</f>
        <v>46048</v>
      </c>
      <c r="F25" s="2" t="n">
        <v>799</v>
      </c>
      <c r="G25" s="2" t="s">
        <v>56</v>
      </c>
      <c r="H25" s="2" t="s">
        <v>103</v>
      </c>
      <c r="I25" s="2" t="n">
        <v>36</v>
      </c>
      <c r="J25" s="2" t="str">
        <f aca="false">IFERROR(VLOOKUP($C25,merchants!$A$2:$D$41,2,FALSE()),"Merchant not found")</f>
        <v>Merchant_006</v>
      </c>
      <c r="K25" s="2" t="str">
        <f aca="false">IFERROR(VLOOKUP($C25,merchants!$A$2:$D$41,3,FALSE()),"Merchant not found")</f>
        <v>food_delivery</v>
      </c>
      <c r="L25" s="2" t="str">
        <f aca="false">IFERROR(VLOOKUP($C25,merchants!$A$2:$D$41,4,FALSE()),"Merchant not found")</f>
        <v>South</v>
      </c>
      <c r="M25" s="2" t="n">
        <f aca="false">SUMIFS($F$2:$F$548,$C$2:$C$548,C25,$E$2:$E$548,E25)</f>
        <v>897</v>
      </c>
      <c r="N25" s="2" t="str">
        <f aca="false">IF(AND(M25&gt;5000,L25&lt;&gt;"East"),"High-Value Merchant Day","No")</f>
        <v>No</v>
      </c>
    </row>
    <row r="26" customFormat="false" ht="15" hidden="false" customHeight="false" outlineLevel="0" collapsed="false">
      <c r="A26" s="2" t="s">
        <v>104</v>
      </c>
      <c r="B26" s="2" t="n">
        <v>318</v>
      </c>
      <c r="C26" s="2" t="n">
        <v>22</v>
      </c>
      <c r="D26" s="9" t="n">
        <v>46039.9027777778</v>
      </c>
      <c r="E26" s="10" t="n">
        <f aca="false">INT(D26)</f>
        <v>46039</v>
      </c>
      <c r="F26" s="2" t="n">
        <v>799</v>
      </c>
      <c r="G26" s="2" t="s">
        <v>57</v>
      </c>
      <c r="H26" s="2" t="s">
        <v>78</v>
      </c>
      <c r="I26" s="2" t="n">
        <v>11</v>
      </c>
      <c r="J26" s="2" t="str">
        <f aca="false">IFERROR(VLOOKUP($C26,merchants!$A$2:$D$41,2,FALSE()),"Merchant not found")</f>
        <v>Merchant_022</v>
      </c>
      <c r="K26" s="2" t="str">
        <f aca="false">IFERROR(VLOOKUP($C26,merchants!$A$2:$D$41,3,FALSE()),"Merchant not found")</f>
        <v>travel</v>
      </c>
      <c r="L26" s="2" t="str">
        <f aca="false">IFERROR(VLOOKUP($C26,merchants!$A$2:$D$41,4,FALSE()),"Merchant not found")</f>
        <v>South</v>
      </c>
      <c r="M26" s="2" t="n">
        <f aca="false">SUMIFS($F$2:$F$548,$C$2:$C$548,C26,$E$2:$E$548,E26)</f>
        <v>1598</v>
      </c>
      <c r="N26" s="2" t="str">
        <f aca="false">IF(AND(M26&gt;5000,L26&lt;&gt;"East"),"High-Value Merchant Day","No")</f>
        <v>No</v>
      </c>
    </row>
    <row r="27" customFormat="false" ht="15" hidden="false" customHeight="false" outlineLevel="0" collapsed="false">
      <c r="A27" s="2" t="s">
        <v>105</v>
      </c>
      <c r="B27" s="2" t="n">
        <v>159</v>
      </c>
      <c r="C27" s="2" t="n">
        <v>15</v>
      </c>
      <c r="D27" s="9" t="n">
        <v>46049.3215277778</v>
      </c>
      <c r="E27" s="10" t="n">
        <f aca="false">INT(D27)</f>
        <v>46049</v>
      </c>
      <c r="F27" s="2" t="n">
        <v>799</v>
      </c>
      <c r="G27" s="2" t="s">
        <v>56</v>
      </c>
      <c r="H27" s="2" t="s">
        <v>78</v>
      </c>
      <c r="I27" s="2" t="n">
        <v>25</v>
      </c>
      <c r="J27" s="2" t="str">
        <f aca="false">IFERROR(VLOOKUP($C27,merchants!$A$2:$D$41,2,FALSE()),"Merchant not found")</f>
        <v>Merchant_015</v>
      </c>
      <c r="K27" s="2" t="str">
        <f aca="false">IFERROR(VLOOKUP($C27,merchants!$A$2:$D$41,3,FALSE()),"Merchant not found")</f>
        <v>travel</v>
      </c>
      <c r="L27" s="2" t="str">
        <f aca="false">IFERROR(VLOOKUP($C27,merchants!$A$2:$D$41,4,FALSE()),"Merchant not found")</f>
        <v>North</v>
      </c>
      <c r="M27" s="2" t="n">
        <f aca="false">SUMIFS($F$2:$F$548,$C$2:$C$548,C27,$E$2:$E$548,E27)</f>
        <v>799</v>
      </c>
      <c r="N27" s="2" t="str">
        <f aca="false">IF(AND(M27&gt;5000,L27&lt;&gt;"East"),"High-Value Merchant Day","No")</f>
        <v>No</v>
      </c>
    </row>
    <row r="28" customFormat="false" ht="15" hidden="false" customHeight="false" outlineLevel="0" collapsed="false">
      <c r="A28" s="2" t="s">
        <v>106</v>
      </c>
      <c r="B28" s="2" t="n">
        <v>126</v>
      </c>
      <c r="C28" s="2" t="n">
        <v>31</v>
      </c>
      <c r="D28" s="9" t="n">
        <v>46027.0013888889</v>
      </c>
      <c r="E28" s="10" t="n">
        <f aca="false">INT(D28)</f>
        <v>46027</v>
      </c>
      <c r="F28" s="2" t="n">
        <v>49</v>
      </c>
      <c r="G28" s="2" t="s">
        <v>58</v>
      </c>
      <c r="H28" s="2" t="s">
        <v>78</v>
      </c>
      <c r="I28" s="2" t="n">
        <v>78</v>
      </c>
      <c r="J28" s="2" t="str">
        <f aca="false">IFERROR(VLOOKUP($C28,merchants!$A$2:$D$41,2,FALSE()),"Merchant not found")</f>
        <v>Merchant_031</v>
      </c>
      <c r="K28" s="2" t="str">
        <f aca="false">IFERROR(VLOOKUP($C28,merchants!$A$2:$D$41,3,FALSE()),"Merchant not found")</f>
        <v>bill_payment</v>
      </c>
      <c r="L28" s="2" t="str">
        <f aca="false">IFERROR(VLOOKUP($C28,merchants!$A$2:$D$41,4,FALSE()),"Merchant not found")</f>
        <v>East</v>
      </c>
      <c r="M28" s="2" t="n">
        <f aca="false">SUMIFS($F$2:$F$548,$C$2:$C$548,C28,$E$2:$E$548,E28)</f>
        <v>49</v>
      </c>
      <c r="N28" s="2" t="str">
        <f aca="false">IF(AND(M28&gt;5000,L28&lt;&gt;"East"),"High-Value Merchant Day","No")</f>
        <v>No</v>
      </c>
    </row>
    <row r="29" customFormat="false" ht="15" hidden="false" customHeight="false" outlineLevel="0" collapsed="false">
      <c r="A29" s="2" t="s">
        <v>107</v>
      </c>
      <c r="B29" s="2" t="n">
        <v>213</v>
      </c>
      <c r="C29" s="2" t="n">
        <v>37</v>
      </c>
      <c r="D29" s="9" t="n">
        <v>46050.1034722222</v>
      </c>
      <c r="E29" s="10" t="n">
        <f aca="false">INT(D29)</f>
        <v>46050</v>
      </c>
      <c r="F29" s="2" t="n">
        <v>99</v>
      </c>
      <c r="G29" s="2" t="s">
        <v>56</v>
      </c>
      <c r="H29" s="2" t="s">
        <v>78</v>
      </c>
      <c r="I29" s="2" t="n">
        <v>24</v>
      </c>
      <c r="J29" s="2" t="str">
        <f aca="false">IFERROR(VLOOKUP($C29,merchants!$A$2:$D$41,2,FALSE()),"Merchant not found")</f>
        <v>Merchant_037</v>
      </c>
      <c r="K29" s="2" t="str">
        <f aca="false">IFERROR(VLOOKUP($C29,merchants!$A$2:$D$41,3,FALSE()),"Merchant not found")</f>
        <v>entertainment</v>
      </c>
      <c r="L29" s="2" t="str">
        <f aca="false">IFERROR(VLOOKUP($C29,merchants!$A$2:$D$41,4,FALSE()),"Merchant not found")</f>
        <v>South</v>
      </c>
      <c r="M29" s="2" t="n">
        <f aca="false">SUMIFS($F$2:$F$548,$C$2:$C$548,C29,$E$2:$E$548,E29)</f>
        <v>697</v>
      </c>
      <c r="N29" s="2" t="str">
        <f aca="false">IF(AND(M29&gt;5000,L29&lt;&gt;"East"),"High-Value Merchant Day","No")</f>
        <v>No</v>
      </c>
    </row>
    <row r="30" customFormat="false" ht="15" hidden="false" customHeight="false" outlineLevel="0" collapsed="false">
      <c r="A30" s="2" t="s">
        <v>108</v>
      </c>
      <c r="B30" s="2" t="n">
        <v>254</v>
      </c>
      <c r="C30" s="2" t="n">
        <v>26</v>
      </c>
      <c r="D30" s="9" t="n">
        <v>46045.9333333333</v>
      </c>
      <c r="E30" s="10" t="n">
        <f aca="false">INT(D30)</f>
        <v>46045</v>
      </c>
      <c r="F30" s="2" t="n">
        <v>99</v>
      </c>
      <c r="G30" s="2" t="s">
        <v>57</v>
      </c>
      <c r="H30" s="2" t="s">
        <v>78</v>
      </c>
      <c r="I30" s="2" t="n">
        <v>31</v>
      </c>
      <c r="J30" s="2" t="str">
        <f aca="false">IFERROR(VLOOKUP($C30,merchants!$A$2:$D$41,2,FALSE()),"Merchant not found")</f>
        <v>Merchant_026</v>
      </c>
      <c r="K30" s="2" t="str">
        <f aca="false">IFERROR(VLOOKUP($C30,merchants!$A$2:$D$41,3,FALSE()),"Merchant not found")</f>
        <v>food_delivery</v>
      </c>
      <c r="L30" s="2" t="str">
        <f aca="false">IFERROR(VLOOKUP($C30,merchants!$A$2:$D$41,4,FALSE()),"Merchant not found")</f>
        <v>East</v>
      </c>
      <c r="M30" s="2" t="n">
        <f aca="false">SUMIFS($F$2:$F$548,$C$2:$C$548,C30,$E$2:$E$548,E30)</f>
        <v>99</v>
      </c>
      <c r="N30" s="2" t="str">
        <f aca="false">IF(AND(M30&gt;5000,L30&lt;&gt;"East"),"High-Value Merchant Day","No")</f>
        <v>No</v>
      </c>
    </row>
    <row r="31" customFormat="false" ht="15" hidden="false" customHeight="false" outlineLevel="0" collapsed="false">
      <c r="A31" s="2" t="s">
        <v>109</v>
      </c>
      <c r="B31" s="2" t="n">
        <v>3</v>
      </c>
      <c r="C31" s="2" t="n">
        <v>7</v>
      </c>
      <c r="D31" s="9" t="n">
        <v>46027.8638888889</v>
      </c>
      <c r="E31" s="10" t="n">
        <f aca="false">INT(D31)</f>
        <v>46027</v>
      </c>
      <c r="F31" s="2" t="n">
        <v>1499</v>
      </c>
      <c r="G31" s="2" t="s">
        <v>56</v>
      </c>
      <c r="H31" s="2" t="s">
        <v>78</v>
      </c>
      <c r="I31" s="2" t="n">
        <v>99</v>
      </c>
      <c r="J31" s="2" t="str">
        <f aca="false">IFERROR(VLOOKUP($C31,merchants!$A$2:$D$41,2,FALSE()),"Merchant not found")</f>
        <v>Merchant_007</v>
      </c>
      <c r="K31" s="2" t="str">
        <f aca="false">IFERROR(VLOOKUP($C31,merchants!$A$2:$D$41,3,FALSE()),"Merchant not found")</f>
        <v>food_delivery</v>
      </c>
      <c r="L31" s="2" t="str">
        <f aca="false">IFERROR(VLOOKUP($C31,merchants!$A$2:$D$41,4,FALSE()),"Merchant not found")</f>
        <v>East</v>
      </c>
      <c r="M31" s="2" t="n">
        <f aca="false">SUMIFS($F$2:$F$548,$C$2:$C$548,C31,$E$2:$E$548,E31)</f>
        <v>4498</v>
      </c>
      <c r="N31" s="2" t="str">
        <f aca="false">IF(AND(M31&gt;5000,L31&lt;&gt;"East"),"High-Value Merchant Day","No")</f>
        <v>No</v>
      </c>
    </row>
    <row r="32" customFormat="false" ht="15" hidden="false" customHeight="false" outlineLevel="0" collapsed="false">
      <c r="A32" s="2" t="s">
        <v>110</v>
      </c>
      <c r="B32" s="2" t="n">
        <v>266</v>
      </c>
      <c r="C32" s="2" t="n">
        <v>30</v>
      </c>
      <c r="D32" s="9" t="n">
        <v>46036.2993055556</v>
      </c>
      <c r="E32" s="10" t="n">
        <f aca="false">INT(D32)</f>
        <v>46036</v>
      </c>
      <c r="F32" s="2" t="n">
        <v>499</v>
      </c>
      <c r="G32" s="2" t="s">
        <v>58</v>
      </c>
      <c r="H32" s="2" t="s">
        <v>78</v>
      </c>
      <c r="I32" s="2" t="n">
        <v>6</v>
      </c>
      <c r="J32" s="2" t="str">
        <f aca="false">IFERROR(VLOOKUP($C32,merchants!$A$2:$D$41,2,FALSE()),"Merchant not found")</f>
        <v>Merchant_030</v>
      </c>
      <c r="K32" s="2" t="str">
        <f aca="false">IFERROR(VLOOKUP($C32,merchants!$A$2:$D$41,3,FALSE()),"Merchant not found")</f>
        <v>travel</v>
      </c>
      <c r="L32" s="2" t="str">
        <f aca="false">IFERROR(VLOOKUP($C32,merchants!$A$2:$D$41,4,FALSE()),"Merchant not found")</f>
        <v>West</v>
      </c>
      <c r="M32" s="2" t="n">
        <f aca="false">SUMIFS($F$2:$F$548,$C$2:$C$548,C32,$E$2:$E$548,E32)</f>
        <v>2497</v>
      </c>
      <c r="N32" s="2" t="str">
        <f aca="false">IF(AND(M32&gt;5000,L32&lt;&gt;"East"),"High-Value Merchant Day","No")</f>
        <v>No</v>
      </c>
    </row>
    <row r="33" customFormat="false" ht="15" hidden="false" customHeight="false" outlineLevel="0" collapsed="false">
      <c r="A33" s="2" t="s">
        <v>111</v>
      </c>
      <c r="B33" s="2" t="n">
        <v>63</v>
      </c>
      <c r="C33" s="2" t="n">
        <v>30</v>
      </c>
      <c r="D33" s="9" t="n">
        <v>46040.3319444444</v>
      </c>
      <c r="E33" s="10" t="n">
        <f aca="false">INT(D33)</f>
        <v>46040</v>
      </c>
      <c r="F33" s="2" t="n">
        <v>799</v>
      </c>
      <c r="G33" s="2" t="s">
        <v>56</v>
      </c>
      <c r="H33" s="2" t="s">
        <v>78</v>
      </c>
      <c r="I33" s="2" t="n">
        <v>17</v>
      </c>
      <c r="J33" s="2" t="str">
        <f aca="false">IFERROR(VLOOKUP($C33,merchants!$A$2:$D$41,2,FALSE()),"Merchant not found")</f>
        <v>Merchant_030</v>
      </c>
      <c r="K33" s="2" t="str">
        <f aca="false">IFERROR(VLOOKUP($C33,merchants!$A$2:$D$41,3,FALSE()),"Merchant not found")</f>
        <v>travel</v>
      </c>
      <c r="L33" s="2" t="str">
        <f aca="false">IFERROR(VLOOKUP($C33,merchants!$A$2:$D$41,4,FALSE()),"Merchant not found")</f>
        <v>West</v>
      </c>
      <c r="M33" s="2" t="n">
        <f aca="false">SUMIFS($F$2:$F$548,$C$2:$C$548,C33,$E$2:$E$548,E33)</f>
        <v>799</v>
      </c>
      <c r="N33" s="2" t="str">
        <f aca="false">IF(AND(M33&gt;5000,L33&lt;&gt;"East"),"High-Value Merchant Day","No")</f>
        <v>No</v>
      </c>
    </row>
    <row r="34" customFormat="false" ht="15" hidden="false" customHeight="false" outlineLevel="0" collapsed="false">
      <c r="A34" s="2" t="s">
        <v>112</v>
      </c>
      <c r="B34" s="2" t="n">
        <v>272</v>
      </c>
      <c r="C34" s="2" t="n">
        <v>36</v>
      </c>
      <c r="D34" s="9" t="n">
        <v>46048.6125</v>
      </c>
      <c r="E34" s="10" t="n">
        <f aca="false">INT(D34)</f>
        <v>46048</v>
      </c>
      <c r="F34" s="2" t="n">
        <v>149</v>
      </c>
      <c r="G34" s="2" t="s">
        <v>56</v>
      </c>
      <c r="H34" s="2" t="s">
        <v>78</v>
      </c>
      <c r="I34" s="2" t="n">
        <v>76</v>
      </c>
      <c r="J34" s="2" t="str">
        <f aca="false">IFERROR(VLOOKUP($C34,merchants!$A$2:$D$41,2,FALSE()),"Merchant not found")</f>
        <v>Merchant_036</v>
      </c>
      <c r="K34" s="2" t="str">
        <f aca="false">IFERROR(VLOOKUP($C34,merchants!$A$2:$D$41,3,FALSE()),"Merchant not found")</f>
        <v>entertainment</v>
      </c>
      <c r="L34" s="2" t="str">
        <f aca="false">IFERROR(VLOOKUP($C34,merchants!$A$2:$D$41,4,FALSE()),"Merchant not found")</f>
        <v>East</v>
      </c>
      <c r="M34" s="2" t="n">
        <f aca="false">SUMIFS($F$2:$F$548,$C$2:$C$548,C34,$E$2:$E$548,E34)</f>
        <v>198</v>
      </c>
      <c r="N34" s="2" t="str">
        <f aca="false">IF(AND(M34&gt;5000,L34&lt;&gt;"East"),"High-Value Merchant Day","No")</f>
        <v>No</v>
      </c>
    </row>
    <row r="35" customFormat="false" ht="15" hidden="false" customHeight="false" outlineLevel="0" collapsed="false">
      <c r="A35" s="2" t="s">
        <v>113</v>
      </c>
      <c r="B35" s="2" t="n">
        <v>259</v>
      </c>
      <c r="C35" s="2" t="n">
        <v>28</v>
      </c>
      <c r="D35" s="9" t="n">
        <v>46033.6104166667</v>
      </c>
      <c r="E35" s="10" t="n">
        <f aca="false">INT(D35)</f>
        <v>46033</v>
      </c>
      <c r="F35" s="2" t="n">
        <v>49</v>
      </c>
      <c r="G35" s="2" t="s">
        <v>57</v>
      </c>
      <c r="H35" s="2" t="s">
        <v>78</v>
      </c>
      <c r="I35" s="2" t="n">
        <v>70</v>
      </c>
      <c r="J35" s="2" t="str">
        <f aca="false">IFERROR(VLOOKUP($C35,merchants!$A$2:$D$41,2,FALSE()),"Merchant not found")</f>
        <v>Merchant_028</v>
      </c>
      <c r="K35" s="2" t="str">
        <f aca="false">IFERROR(VLOOKUP($C35,merchants!$A$2:$D$41,3,FALSE()),"Merchant not found")</f>
        <v>ecommerce</v>
      </c>
      <c r="L35" s="2" t="str">
        <f aca="false">IFERROR(VLOOKUP($C35,merchants!$A$2:$D$41,4,FALSE()),"Merchant not found")</f>
        <v>South</v>
      </c>
      <c r="M35" s="2" t="n">
        <f aca="false">SUMIFS($F$2:$F$548,$C$2:$C$548,C35,$E$2:$E$548,E35)</f>
        <v>49</v>
      </c>
      <c r="N35" s="2" t="str">
        <f aca="false">IF(AND(M35&gt;5000,L35&lt;&gt;"East"),"High-Value Merchant Day","No")</f>
        <v>No</v>
      </c>
    </row>
    <row r="36" customFormat="false" ht="15" hidden="false" customHeight="false" outlineLevel="0" collapsed="false">
      <c r="A36" s="2" t="s">
        <v>114</v>
      </c>
      <c r="B36" s="2" t="n">
        <v>244</v>
      </c>
      <c r="C36" s="2" t="n">
        <v>29</v>
      </c>
      <c r="D36" s="9" t="n">
        <v>46037.2409722222</v>
      </c>
      <c r="E36" s="10" t="n">
        <f aca="false">INT(D36)</f>
        <v>46037</v>
      </c>
      <c r="F36" s="2" t="n">
        <v>299</v>
      </c>
      <c r="G36" s="2" t="s">
        <v>59</v>
      </c>
      <c r="H36" s="2" t="s">
        <v>78</v>
      </c>
      <c r="I36" s="2" t="n">
        <v>33</v>
      </c>
      <c r="J36" s="2" t="str">
        <f aca="false">IFERROR(VLOOKUP($C36,merchants!$A$2:$D$41,2,FALSE()),"Merchant not found")</f>
        <v>Merchant_029</v>
      </c>
      <c r="K36" s="2" t="str">
        <f aca="false">IFERROR(VLOOKUP($C36,merchants!$A$2:$D$41,3,FALSE()),"Merchant not found")</f>
        <v>ecommerce</v>
      </c>
      <c r="L36" s="2" t="str">
        <f aca="false">IFERROR(VLOOKUP($C36,merchants!$A$2:$D$41,4,FALSE()),"Merchant not found")</f>
        <v>North</v>
      </c>
      <c r="M36" s="2" t="n">
        <f aca="false">SUMIFS($F$2:$F$548,$C$2:$C$548,C36,$E$2:$E$548,E36)</f>
        <v>1098</v>
      </c>
      <c r="N36" s="2" t="str">
        <f aca="false">IF(AND(M36&gt;5000,L36&lt;&gt;"East"),"High-Value Merchant Day","No")</f>
        <v>No</v>
      </c>
    </row>
    <row r="37" customFormat="false" ht="15" hidden="false" customHeight="false" outlineLevel="0" collapsed="false">
      <c r="A37" s="2" t="s">
        <v>115</v>
      </c>
      <c r="B37" s="2" t="n">
        <v>327</v>
      </c>
      <c r="C37" s="2" t="n">
        <v>18</v>
      </c>
      <c r="D37" s="9" t="n">
        <v>46047.3284722222</v>
      </c>
      <c r="E37" s="10" t="n">
        <f aca="false">INT(D37)</f>
        <v>46047</v>
      </c>
      <c r="F37" s="2" t="n">
        <v>149</v>
      </c>
      <c r="G37" s="2" t="s">
        <v>58</v>
      </c>
      <c r="H37" s="2" t="s">
        <v>78</v>
      </c>
      <c r="I37" s="2" t="n">
        <v>98</v>
      </c>
      <c r="J37" s="2" t="str">
        <f aca="false">IFERROR(VLOOKUP($C37,merchants!$A$2:$D$41,2,FALSE()),"Merchant not found")</f>
        <v>Merchant_018</v>
      </c>
      <c r="K37" s="2" t="str">
        <f aca="false">IFERROR(VLOOKUP($C37,merchants!$A$2:$D$41,3,FALSE()),"Merchant not found")</f>
        <v>grocery</v>
      </c>
      <c r="L37" s="2" t="str">
        <f aca="false">IFERROR(VLOOKUP($C37,merchants!$A$2:$D$41,4,FALSE()),"Merchant not found")</f>
        <v>West</v>
      </c>
      <c r="M37" s="2" t="n">
        <f aca="false">SUMIFS($F$2:$F$548,$C$2:$C$548,C37,$E$2:$E$548,E37)</f>
        <v>1648</v>
      </c>
      <c r="N37" s="2" t="str">
        <f aca="false">IF(AND(M37&gt;5000,L37&lt;&gt;"East"),"High-Value Merchant Day","No")</f>
        <v>No</v>
      </c>
    </row>
    <row r="38" customFormat="false" ht="15" hidden="false" customHeight="false" outlineLevel="0" collapsed="false">
      <c r="A38" s="2" t="s">
        <v>116</v>
      </c>
      <c r="B38" s="2" t="n">
        <v>321</v>
      </c>
      <c r="C38" s="2" t="n">
        <v>16</v>
      </c>
      <c r="D38" s="9" t="n">
        <v>46047.6881944445</v>
      </c>
      <c r="E38" s="10" t="n">
        <f aca="false">INT(D38)</f>
        <v>46047</v>
      </c>
      <c r="F38" s="2" t="n">
        <v>49</v>
      </c>
      <c r="G38" s="2" t="s">
        <v>56</v>
      </c>
      <c r="H38" s="2" t="s">
        <v>78</v>
      </c>
      <c r="I38" s="2" t="n">
        <v>35</v>
      </c>
      <c r="J38" s="2" t="str">
        <f aca="false">IFERROR(VLOOKUP($C38,merchants!$A$2:$D$41,2,FALSE()),"Merchant not found")</f>
        <v>Merchant_016</v>
      </c>
      <c r="K38" s="2" t="str">
        <f aca="false">IFERROR(VLOOKUP($C38,merchants!$A$2:$D$41,3,FALSE()),"Merchant not found")</f>
        <v>bill_payment</v>
      </c>
      <c r="L38" s="2" t="str">
        <f aca="false">IFERROR(VLOOKUP($C38,merchants!$A$2:$D$41,4,FALSE()),"Merchant not found")</f>
        <v>West</v>
      </c>
      <c r="M38" s="2" t="n">
        <f aca="false">SUMIFS($F$2:$F$548,$C$2:$C$548,C38,$E$2:$E$548,E38)</f>
        <v>98</v>
      </c>
      <c r="N38" s="2" t="str">
        <f aca="false">IF(AND(M38&gt;5000,L38&lt;&gt;"East"),"High-Value Merchant Day","No")</f>
        <v>No</v>
      </c>
    </row>
    <row r="39" customFormat="false" ht="15" hidden="false" customHeight="false" outlineLevel="0" collapsed="false">
      <c r="A39" s="2" t="s">
        <v>117</v>
      </c>
      <c r="B39" s="2" t="n">
        <v>147</v>
      </c>
      <c r="C39" s="2" t="n">
        <v>16</v>
      </c>
      <c r="D39" s="9" t="n">
        <v>46037.1145833333</v>
      </c>
      <c r="E39" s="10" t="n">
        <f aca="false">INT(D39)</f>
        <v>46037</v>
      </c>
      <c r="F39" s="2" t="n">
        <v>2999</v>
      </c>
      <c r="G39" s="2" t="s">
        <v>58</v>
      </c>
      <c r="H39" s="2" t="s">
        <v>78</v>
      </c>
      <c r="I39" s="2" t="n">
        <v>34</v>
      </c>
      <c r="J39" s="2" t="str">
        <f aca="false">IFERROR(VLOOKUP($C39,merchants!$A$2:$D$41,2,FALSE()),"Merchant not found")</f>
        <v>Merchant_016</v>
      </c>
      <c r="K39" s="2" t="str">
        <f aca="false">IFERROR(VLOOKUP($C39,merchants!$A$2:$D$41,3,FALSE()),"Merchant not found")</f>
        <v>bill_payment</v>
      </c>
      <c r="L39" s="2" t="str">
        <f aca="false">IFERROR(VLOOKUP($C39,merchants!$A$2:$D$41,4,FALSE()),"Merchant not found")</f>
        <v>West</v>
      </c>
      <c r="M39" s="2" t="n">
        <f aca="false">SUMIFS($F$2:$F$548,$C$2:$C$548,C39,$E$2:$E$548,E39)</f>
        <v>2999</v>
      </c>
      <c r="N39" s="2" t="str">
        <f aca="false">IF(AND(M39&gt;5000,L39&lt;&gt;"East"),"High-Value Merchant Day","No")</f>
        <v>No</v>
      </c>
    </row>
    <row r="40" customFormat="false" ht="15" hidden="false" customHeight="false" outlineLevel="0" collapsed="false">
      <c r="A40" s="2" t="s">
        <v>118</v>
      </c>
      <c r="B40" s="2" t="n">
        <v>277</v>
      </c>
      <c r="C40" s="2" t="n">
        <v>6</v>
      </c>
      <c r="D40" s="9" t="n">
        <v>46033.45625</v>
      </c>
      <c r="E40" s="10" t="n">
        <f aca="false">INT(D40)</f>
        <v>46033</v>
      </c>
      <c r="F40" s="2" t="n">
        <v>1499</v>
      </c>
      <c r="G40" s="2" t="s">
        <v>58</v>
      </c>
      <c r="H40" s="2" t="s">
        <v>78</v>
      </c>
      <c r="I40" s="2" t="n">
        <v>17</v>
      </c>
      <c r="J40" s="2" t="str">
        <f aca="false">IFERROR(VLOOKUP($C40,merchants!$A$2:$D$41,2,FALSE()),"Merchant not found")</f>
        <v>Merchant_006</v>
      </c>
      <c r="K40" s="2" t="str">
        <f aca="false">IFERROR(VLOOKUP($C40,merchants!$A$2:$D$41,3,FALSE()),"Merchant not found")</f>
        <v>food_delivery</v>
      </c>
      <c r="L40" s="2" t="str">
        <f aca="false">IFERROR(VLOOKUP($C40,merchants!$A$2:$D$41,4,FALSE()),"Merchant not found")</f>
        <v>South</v>
      </c>
      <c r="M40" s="2" t="n">
        <f aca="false">SUMIFS($F$2:$F$548,$C$2:$C$548,C40,$E$2:$E$548,E40)</f>
        <v>1499</v>
      </c>
      <c r="N40" s="2" t="str">
        <f aca="false">IF(AND(M40&gt;5000,L40&lt;&gt;"East"),"High-Value Merchant Day","No")</f>
        <v>No</v>
      </c>
    </row>
    <row r="41" customFormat="false" ht="15" hidden="false" customHeight="false" outlineLevel="0" collapsed="false">
      <c r="A41" s="2" t="s">
        <v>119</v>
      </c>
      <c r="B41" s="2" t="n">
        <v>79</v>
      </c>
      <c r="C41" s="2" t="n">
        <v>14</v>
      </c>
      <c r="D41" s="9" t="n">
        <v>46027.3083333333</v>
      </c>
      <c r="E41" s="10" t="n">
        <f aca="false">INT(D41)</f>
        <v>46027</v>
      </c>
      <c r="F41" s="2" t="n">
        <v>1499</v>
      </c>
      <c r="G41" s="2" t="s">
        <v>56</v>
      </c>
      <c r="H41" s="2" t="s">
        <v>78</v>
      </c>
      <c r="I41" s="2" t="n">
        <v>8</v>
      </c>
      <c r="J41" s="2" t="str">
        <f aca="false">IFERROR(VLOOKUP($C41,merchants!$A$2:$D$41,2,FALSE()),"Merchant not found")</f>
        <v>Merchant_014</v>
      </c>
      <c r="K41" s="2" t="str">
        <f aca="false">IFERROR(VLOOKUP($C41,merchants!$A$2:$D$41,3,FALSE()),"Merchant not found")</f>
        <v>grocery</v>
      </c>
      <c r="L41" s="2" t="str">
        <f aca="false">IFERROR(VLOOKUP($C41,merchants!$A$2:$D$41,4,FALSE()),"Merchant not found")</f>
        <v>East</v>
      </c>
      <c r="M41" s="2" t="n">
        <f aca="false">SUMIFS($F$2:$F$548,$C$2:$C$548,C41,$E$2:$E$548,E41)</f>
        <v>1499</v>
      </c>
      <c r="N41" s="2" t="str">
        <f aca="false">IF(AND(M41&gt;5000,L41&lt;&gt;"East"),"High-Value Merchant Day","No")</f>
        <v>No</v>
      </c>
    </row>
    <row r="42" customFormat="false" ht="15" hidden="false" customHeight="false" outlineLevel="0" collapsed="false">
      <c r="A42" s="2" t="s">
        <v>120</v>
      </c>
      <c r="B42" s="2" t="n">
        <v>278</v>
      </c>
      <c r="C42" s="2" t="n">
        <v>30</v>
      </c>
      <c r="D42" s="9" t="n">
        <v>46036.55625</v>
      </c>
      <c r="E42" s="10" t="n">
        <f aca="false">INT(D42)</f>
        <v>46036</v>
      </c>
      <c r="F42" s="2" t="n">
        <v>1499</v>
      </c>
      <c r="G42" s="2" t="s">
        <v>56</v>
      </c>
      <c r="H42" s="2" t="s">
        <v>78</v>
      </c>
      <c r="I42" s="2" t="n">
        <v>53</v>
      </c>
      <c r="J42" s="2" t="str">
        <f aca="false">IFERROR(VLOOKUP($C42,merchants!$A$2:$D$41,2,FALSE()),"Merchant not found")</f>
        <v>Merchant_030</v>
      </c>
      <c r="K42" s="2" t="str">
        <f aca="false">IFERROR(VLOOKUP($C42,merchants!$A$2:$D$41,3,FALSE()),"Merchant not found")</f>
        <v>travel</v>
      </c>
      <c r="L42" s="2" t="str">
        <f aca="false">IFERROR(VLOOKUP($C42,merchants!$A$2:$D$41,4,FALSE()),"Merchant not found")</f>
        <v>West</v>
      </c>
      <c r="M42" s="2" t="n">
        <f aca="false">SUMIFS($F$2:$F$548,$C$2:$C$548,C42,$E$2:$E$548,E42)</f>
        <v>2497</v>
      </c>
      <c r="N42" s="2" t="str">
        <f aca="false">IF(AND(M42&gt;5000,L42&lt;&gt;"East"),"High-Value Merchant Day","No")</f>
        <v>No</v>
      </c>
    </row>
    <row r="43" customFormat="false" ht="15" hidden="false" customHeight="false" outlineLevel="0" collapsed="false">
      <c r="A43" s="2" t="s">
        <v>121</v>
      </c>
      <c r="B43" s="2" t="n">
        <v>216</v>
      </c>
      <c r="C43" s="2" t="n">
        <v>25</v>
      </c>
      <c r="D43" s="9" t="n">
        <v>46024.2868055556</v>
      </c>
      <c r="E43" s="10" t="n">
        <f aca="false">INT(D43)</f>
        <v>46024</v>
      </c>
      <c r="F43" s="2" t="n">
        <v>99</v>
      </c>
      <c r="G43" s="2" t="s">
        <v>56</v>
      </c>
      <c r="H43" s="2" t="s">
        <v>78</v>
      </c>
      <c r="I43" s="2" t="n">
        <v>98</v>
      </c>
      <c r="J43" s="2" t="str">
        <f aca="false">IFERROR(VLOOKUP($C43,merchants!$A$2:$D$41,2,FALSE()),"Merchant not found")</f>
        <v>Merchant_025</v>
      </c>
      <c r="K43" s="2" t="str">
        <f aca="false">IFERROR(VLOOKUP($C43,merchants!$A$2:$D$41,3,FALSE()),"Merchant not found")</f>
        <v>travel</v>
      </c>
      <c r="L43" s="2" t="str">
        <f aca="false">IFERROR(VLOOKUP($C43,merchants!$A$2:$D$41,4,FALSE()),"Merchant not found")</f>
        <v>South</v>
      </c>
      <c r="M43" s="2" t="n">
        <f aca="false">SUMIFS($F$2:$F$548,$C$2:$C$548,C43,$E$2:$E$548,E43)</f>
        <v>99</v>
      </c>
      <c r="N43" s="2" t="str">
        <f aca="false">IF(AND(M43&gt;5000,L43&lt;&gt;"East"),"High-Value Merchant Day","No")</f>
        <v>No</v>
      </c>
    </row>
    <row r="44" customFormat="false" ht="15" hidden="false" customHeight="false" outlineLevel="0" collapsed="false">
      <c r="A44" s="2" t="s">
        <v>122</v>
      </c>
      <c r="B44" s="2" t="n">
        <v>295</v>
      </c>
      <c r="C44" s="2" t="n">
        <v>25</v>
      </c>
      <c r="D44" s="9" t="n">
        <v>46041.9173611111</v>
      </c>
      <c r="E44" s="10" t="n">
        <f aca="false">INT(D44)</f>
        <v>46041</v>
      </c>
      <c r="F44" s="2" t="n">
        <v>1499</v>
      </c>
      <c r="G44" s="2" t="s">
        <v>56</v>
      </c>
      <c r="H44" s="2" t="s">
        <v>78</v>
      </c>
      <c r="I44" s="2" t="n">
        <v>61</v>
      </c>
      <c r="J44" s="2" t="str">
        <f aca="false">IFERROR(VLOOKUP($C44,merchants!$A$2:$D$41,2,FALSE()),"Merchant not found")</f>
        <v>Merchant_025</v>
      </c>
      <c r="K44" s="2" t="str">
        <f aca="false">IFERROR(VLOOKUP($C44,merchants!$A$2:$D$41,3,FALSE()),"Merchant not found")</f>
        <v>travel</v>
      </c>
      <c r="L44" s="2" t="str">
        <f aca="false">IFERROR(VLOOKUP($C44,merchants!$A$2:$D$41,4,FALSE()),"Merchant not found")</f>
        <v>South</v>
      </c>
      <c r="M44" s="2" t="n">
        <f aca="false">SUMIFS($F$2:$F$548,$C$2:$C$548,C44,$E$2:$E$548,E44)</f>
        <v>4498</v>
      </c>
      <c r="N44" s="2" t="str">
        <f aca="false">IF(AND(M44&gt;5000,L44&lt;&gt;"East"),"High-Value Merchant Day","No")</f>
        <v>No</v>
      </c>
    </row>
    <row r="45" customFormat="false" ht="15" hidden="false" customHeight="false" outlineLevel="0" collapsed="false">
      <c r="A45" s="2" t="s">
        <v>123</v>
      </c>
      <c r="B45" s="2" t="n">
        <v>200</v>
      </c>
      <c r="C45" s="2" t="n">
        <v>27</v>
      </c>
      <c r="D45" s="9" t="n">
        <v>46023.4715277778</v>
      </c>
      <c r="E45" s="10" t="n">
        <f aca="false">INT(D45)</f>
        <v>46023</v>
      </c>
      <c r="F45" s="2" t="n">
        <v>149</v>
      </c>
      <c r="G45" s="2" t="s">
        <v>56</v>
      </c>
      <c r="H45" s="2" t="s">
        <v>78</v>
      </c>
      <c r="I45" s="2" t="n">
        <v>68</v>
      </c>
      <c r="J45" s="2" t="str">
        <f aca="false">IFERROR(VLOOKUP($C45,merchants!$A$2:$D$41,2,FALSE()),"Merchant not found")</f>
        <v>Merchant_027</v>
      </c>
      <c r="K45" s="2" t="str">
        <f aca="false">IFERROR(VLOOKUP($C45,merchants!$A$2:$D$41,3,FALSE()),"Merchant not found")</f>
        <v>ecommerce</v>
      </c>
      <c r="L45" s="2" t="str">
        <f aca="false">IFERROR(VLOOKUP($C45,merchants!$A$2:$D$41,4,FALSE()),"Merchant not found")</f>
        <v>North</v>
      </c>
      <c r="M45" s="2" t="n">
        <f aca="false">SUMIFS($F$2:$F$548,$C$2:$C$548,C45,$E$2:$E$548,E45)</f>
        <v>149</v>
      </c>
      <c r="N45" s="2" t="str">
        <f aca="false">IF(AND(M45&gt;5000,L45&lt;&gt;"East"),"High-Value Merchant Day","No")</f>
        <v>No</v>
      </c>
    </row>
    <row r="46" customFormat="false" ht="15" hidden="false" customHeight="false" outlineLevel="0" collapsed="false">
      <c r="A46" s="2" t="s">
        <v>124</v>
      </c>
      <c r="B46" s="2" t="n">
        <v>309</v>
      </c>
      <c r="C46" s="2" t="n">
        <v>15</v>
      </c>
      <c r="D46" s="9" t="n">
        <v>46046.9819444444</v>
      </c>
      <c r="E46" s="10" t="n">
        <f aca="false">INT(D46)</f>
        <v>46046</v>
      </c>
      <c r="F46" s="2" t="n">
        <v>99</v>
      </c>
      <c r="G46" s="2" t="s">
        <v>59</v>
      </c>
      <c r="H46" s="2" t="s">
        <v>78</v>
      </c>
      <c r="I46" s="2" t="n">
        <v>62</v>
      </c>
      <c r="J46" s="2" t="str">
        <f aca="false">IFERROR(VLOOKUP($C46,merchants!$A$2:$D$41,2,FALSE()),"Merchant not found")</f>
        <v>Merchant_015</v>
      </c>
      <c r="K46" s="2" t="str">
        <f aca="false">IFERROR(VLOOKUP($C46,merchants!$A$2:$D$41,3,FALSE()),"Merchant not found")</f>
        <v>travel</v>
      </c>
      <c r="L46" s="2" t="str">
        <f aca="false">IFERROR(VLOOKUP($C46,merchants!$A$2:$D$41,4,FALSE()),"Merchant not found")</f>
        <v>North</v>
      </c>
      <c r="M46" s="2" t="n">
        <f aca="false">SUMIFS($F$2:$F$548,$C$2:$C$548,C46,$E$2:$E$548,E46)</f>
        <v>148</v>
      </c>
      <c r="N46" s="2" t="str">
        <f aca="false">IF(AND(M46&gt;5000,L46&lt;&gt;"East"),"High-Value Merchant Day","No")</f>
        <v>No</v>
      </c>
    </row>
    <row r="47" customFormat="false" ht="15" hidden="false" customHeight="false" outlineLevel="0" collapsed="false">
      <c r="A47" s="2" t="s">
        <v>125</v>
      </c>
      <c r="B47" s="2" t="n">
        <v>249</v>
      </c>
      <c r="C47" s="2" t="n">
        <v>2</v>
      </c>
      <c r="D47" s="9" t="n">
        <v>46030.3520833333</v>
      </c>
      <c r="E47" s="10" t="n">
        <f aca="false">INT(D47)</f>
        <v>46030</v>
      </c>
      <c r="F47" s="2" t="n">
        <v>299</v>
      </c>
      <c r="G47" s="2" t="s">
        <v>57</v>
      </c>
      <c r="H47" s="2" t="s">
        <v>78</v>
      </c>
      <c r="I47" s="2" t="n">
        <v>49</v>
      </c>
      <c r="J47" s="2" t="str">
        <f aca="false">IFERROR(VLOOKUP($C47,merchants!$A$2:$D$41,2,FALSE()),"Merchant not found")</f>
        <v>Merchant_002</v>
      </c>
      <c r="K47" s="2" t="str">
        <f aca="false">IFERROR(VLOOKUP($C47,merchants!$A$2:$D$41,3,FALSE()),"Merchant not found")</f>
        <v>grocery</v>
      </c>
      <c r="L47" s="2" t="str">
        <f aca="false">IFERROR(VLOOKUP($C47,merchants!$A$2:$D$41,4,FALSE()),"Merchant not found")</f>
        <v>West</v>
      </c>
      <c r="M47" s="2" t="n">
        <f aca="false">SUMIFS($F$2:$F$548,$C$2:$C$548,C47,$E$2:$E$548,E47)</f>
        <v>299</v>
      </c>
      <c r="N47" s="2" t="str">
        <f aca="false">IF(AND(M47&gt;5000,L47&lt;&gt;"East"),"High-Value Merchant Day","No")</f>
        <v>No</v>
      </c>
    </row>
    <row r="48" customFormat="false" ht="15" hidden="false" customHeight="false" outlineLevel="0" collapsed="false">
      <c r="A48" s="2" t="s">
        <v>126</v>
      </c>
      <c r="B48" s="2" t="n">
        <v>208</v>
      </c>
      <c r="C48" s="2" t="n">
        <v>11</v>
      </c>
      <c r="D48" s="9" t="n">
        <v>46033.9048611111</v>
      </c>
      <c r="E48" s="10" t="n">
        <f aca="false">INT(D48)</f>
        <v>46033</v>
      </c>
      <c r="F48" s="2" t="n">
        <v>4999</v>
      </c>
      <c r="G48" s="2" t="s">
        <v>59</v>
      </c>
      <c r="H48" s="2" t="s">
        <v>78</v>
      </c>
      <c r="I48" s="2" t="n">
        <v>59</v>
      </c>
      <c r="J48" s="2" t="str">
        <f aca="false">IFERROR(VLOOKUP($C48,merchants!$A$2:$D$41,2,FALSE()),"Merchant not found")</f>
        <v>Merchant_011</v>
      </c>
      <c r="K48" s="2" t="str">
        <f aca="false">IFERROR(VLOOKUP($C48,merchants!$A$2:$D$41,3,FALSE()),"Merchant not found")</f>
        <v>ecommerce</v>
      </c>
      <c r="L48" s="2" t="str">
        <f aca="false">IFERROR(VLOOKUP($C48,merchants!$A$2:$D$41,4,FALSE()),"Merchant not found")</f>
        <v>North</v>
      </c>
      <c r="M48" s="2" t="n">
        <f aca="false">SUMIFS($F$2:$F$548,$C$2:$C$548,C48,$E$2:$E$548,E48)</f>
        <v>4999</v>
      </c>
      <c r="N48" s="2" t="str">
        <f aca="false">IF(AND(M48&gt;5000,L48&lt;&gt;"East"),"High-Value Merchant Day","No")</f>
        <v>No</v>
      </c>
    </row>
    <row r="49" customFormat="false" ht="15" hidden="false" customHeight="false" outlineLevel="0" collapsed="false">
      <c r="A49" s="2" t="s">
        <v>127</v>
      </c>
      <c r="B49" s="2" t="n">
        <v>274</v>
      </c>
      <c r="C49" s="2" t="n">
        <v>2</v>
      </c>
      <c r="D49" s="9" t="n">
        <v>46052.19375</v>
      </c>
      <c r="E49" s="10" t="n">
        <f aca="false">INT(D49)</f>
        <v>46052</v>
      </c>
      <c r="F49" s="2" t="n">
        <v>299</v>
      </c>
      <c r="G49" s="2" t="s">
        <v>56</v>
      </c>
      <c r="H49" s="2" t="s">
        <v>78</v>
      </c>
      <c r="I49" s="2" t="n">
        <v>50</v>
      </c>
      <c r="J49" s="2" t="str">
        <f aca="false">IFERROR(VLOOKUP($C49,merchants!$A$2:$D$41,2,FALSE()),"Merchant not found")</f>
        <v>Merchant_002</v>
      </c>
      <c r="K49" s="2" t="str">
        <f aca="false">IFERROR(VLOOKUP($C49,merchants!$A$2:$D$41,3,FALSE()),"Merchant not found")</f>
        <v>grocery</v>
      </c>
      <c r="L49" s="2" t="str">
        <f aca="false">IFERROR(VLOOKUP($C49,merchants!$A$2:$D$41,4,FALSE()),"Merchant not found")</f>
        <v>West</v>
      </c>
      <c r="M49" s="2" t="n">
        <f aca="false">SUMIFS($F$2:$F$548,$C$2:$C$548,C49,$E$2:$E$548,E49)</f>
        <v>299</v>
      </c>
      <c r="N49" s="2" t="str">
        <f aca="false">IF(AND(M49&gt;5000,L49&lt;&gt;"East"),"High-Value Merchant Day","No")</f>
        <v>No</v>
      </c>
    </row>
    <row r="50" customFormat="false" ht="15" hidden="false" customHeight="false" outlineLevel="0" collapsed="false">
      <c r="A50" s="2" t="s">
        <v>128</v>
      </c>
      <c r="B50" s="2" t="n">
        <v>14</v>
      </c>
      <c r="C50" s="2" t="n">
        <v>6</v>
      </c>
      <c r="D50" s="9" t="n">
        <v>46041.7791666667</v>
      </c>
      <c r="E50" s="10" t="n">
        <f aca="false">INT(D50)</f>
        <v>46041</v>
      </c>
      <c r="F50" s="2" t="n">
        <v>49</v>
      </c>
      <c r="G50" s="2" t="s">
        <v>57</v>
      </c>
      <c r="H50" s="2" t="s">
        <v>78</v>
      </c>
      <c r="I50" s="2" t="n">
        <v>82</v>
      </c>
      <c r="J50" s="2" t="str">
        <f aca="false">IFERROR(VLOOKUP($C50,merchants!$A$2:$D$41,2,FALSE()),"Merchant not found")</f>
        <v>Merchant_006</v>
      </c>
      <c r="K50" s="2" t="str">
        <f aca="false">IFERROR(VLOOKUP($C50,merchants!$A$2:$D$41,3,FALSE()),"Merchant not found")</f>
        <v>food_delivery</v>
      </c>
      <c r="L50" s="2" t="str">
        <f aca="false">IFERROR(VLOOKUP($C50,merchants!$A$2:$D$41,4,FALSE()),"Merchant not found")</f>
        <v>South</v>
      </c>
      <c r="M50" s="2" t="n">
        <f aca="false">SUMIFS($F$2:$F$548,$C$2:$C$548,C50,$E$2:$E$548,E50)</f>
        <v>49</v>
      </c>
      <c r="N50" s="2" t="str">
        <f aca="false">IF(AND(M50&gt;5000,L50&lt;&gt;"East"),"High-Value Merchant Day","No")</f>
        <v>No</v>
      </c>
    </row>
    <row r="51" customFormat="false" ht="15" hidden="false" customHeight="false" outlineLevel="0" collapsed="false">
      <c r="A51" s="2" t="s">
        <v>129</v>
      </c>
      <c r="B51" s="2" t="n">
        <v>237</v>
      </c>
      <c r="C51" s="2" t="n">
        <v>12</v>
      </c>
      <c r="D51" s="9" t="n">
        <v>46036.2048611111</v>
      </c>
      <c r="E51" s="10" t="n">
        <f aca="false">INT(D51)</f>
        <v>46036</v>
      </c>
      <c r="F51" s="2" t="n">
        <v>49</v>
      </c>
      <c r="G51" s="2" t="s">
        <v>56</v>
      </c>
      <c r="H51" s="2" t="s">
        <v>78</v>
      </c>
      <c r="I51" s="2" t="n">
        <v>6</v>
      </c>
      <c r="J51" s="2" t="str">
        <f aca="false">IFERROR(VLOOKUP($C51,merchants!$A$2:$D$41,2,FALSE()),"Merchant not found")</f>
        <v>Merchant_012</v>
      </c>
      <c r="K51" s="2" t="str">
        <f aca="false">IFERROR(VLOOKUP($C51,merchants!$A$2:$D$41,3,FALSE()),"Merchant not found")</f>
        <v>ecommerce</v>
      </c>
      <c r="L51" s="2" t="str">
        <f aca="false">IFERROR(VLOOKUP($C51,merchants!$A$2:$D$41,4,FALSE()),"Merchant not found")</f>
        <v>East</v>
      </c>
      <c r="M51" s="2" t="n">
        <f aca="false">SUMIFS($F$2:$F$548,$C$2:$C$548,C51,$E$2:$E$548,E51)</f>
        <v>548</v>
      </c>
      <c r="N51" s="2" t="str">
        <f aca="false">IF(AND(M51&gt;5000,L51&lt;&gt;"East"),"High-Value Merchant Day","No")</f>
        <v>No</v>
      </c>
    </row>
    <row r="52" customFormat="false" ht="15" hidden="false" customHeight="false" outlineLevel="0" collapsed="false">
      <c r="A52" s="2" t="s">
        <v>130</v>
      </c>
      <c r="B52" s="2" t="n">
        <v>109</v>
      </c>
      <c r="C52" s="2" t="n">
        <v>30</v>
      </c>
      <c r="D52" s="9" t="n">
        <v>46031.5138888889</v>
      </c>
      <c r="E52" s="10" t="n">
        <f aca="false">INT(D52)</f>
        <v>46031</v>
      </c>
      <c r="F52" s="2" t="n">
        <v>99</v>
      </c>
      <c r="G52" s="2" t="s">
        <v>56</v>
      </c>
      <c r="H52" s="2" t="s">
        <v>78</v>
      </c>
      <c r="I52" s="2" t="n">
        <v>41</v>
      </c>
      <c r="J52" s="2" t="str">
        <f aca="false">IFERROR(VLOOKUP($C52,merchants!$A$2:$D$41,2,FALSE()),"Merchant not found")</f>
        <v>Merchant_030</v>
      </c>
      <c r="K52" s="2" t="str">
        <f aca="false">IFERROR(VLOOKUP($C52,merchants!$A$2:$D$41,3,FALSE()),"Merchant not found")</f>
        <v>travel</v>
      </c>
      <c r="L52" s="2" t="str">
        <f aca="false">IFERROR(VLOOKUP($C52,merchants!$A$2:$D$41,4,FALSE()),"Merchant not found")</f>
        <v>West</v>
      </c>
      <c r="M52" s="2" t="n">
        <f aca="false">SUMIFS($F$2:$F$548,$C$2:$C$548,C52,$E$2:$E$548,E52)</f>
        <v>99</v>
      </c>
      <c r="N52" s="2" t="str">
        <f aca="false">IF(AND(M52&gt;5000,L52&lt;&gt;"East"),"High-Value Merchant Day","No")</f>
        <v>No</v>
      </c>
    </row>
    <row r="53" customFormat="false" ht="15" hidden="false" customHeight="false" outlineLevel="0" collapsed="false">
      <c r="A53" s="2" t="s">
        <v>131</v>
      </c>
      <c r="B53" s="2" t="n">
        <v>216</v>
      </c>
      <c r="C53" s="2" t="n">
        <v>17</v>
      </c>
      <c r="D53" s="9" t="n">
        <v>46033.5118055556</v>
      </c>
      <c r="E53" s="10" t="n">
        <f aca="false">INT(D53)</f>
        <v>46033</v>
      </c>
      <c r="F53" s="2" t="n">
        <v>4999</v>
      </c>
      <c r="G53" s="2" t="s">
        <v>56</v>
      </c>
      <c r="H53" s="2" t="s">
        <v>78</v>
      </c>
      <c r="I53" s="2" t="n">
        <v>10</v>
      </c>
      <c r="J53" s="2" t="str">
        <f aca="false">IFERROR(VLOOKUP($C53,merchants!$A$2:$D$41,2,FALSE()),"Merchant not found")</f>
        <v>Merchant_017</v>
      </c>
      <c r="K53" s="2" t="str">
        <f aca="false">IFERROR(VLOOKUP($C53,merchants!$A$2:$D$41,3,FALSE()),"Merchant not found")</f>
        <v>grocery</v>
      </c>
      <c r="L53" s="2" t="str">
        <f aca="false">IFERROR(VLOOKUP($C53,merchants!$A$2:$D$41,4,FALSE()),"Merchant not found")</f>
        <v>North</v>
      </c>
      <c r="M53" s="2" t="n">
        <f aca="false">SUMIFS($F$2:$F$548,$C$2:$C$548,C53,$E$2:$E$548,E53)</f>
        <v>7998</v>
      </c>
      <c r="N53" s="2" t="str">
        <f aca="false">IF(AND(M53&gt;5000,L53&lt;&gt;"East"),"High-Value Merchant Day","No")</f>
        <v>High-Value Merchant Day</v>
      </c>
    </row>
    <row r="54" customFormat="false" ht="15" hidden="false" customHeight="false" outlineLevel="0" collapsed="false">
      <c r="A54" s="2" t="s">
        <v>132</v>
      </c>
      <c r="B54" s="2" t="n">
        <v>277</v>
      </c>
      <c r="C54" s="2" t="n">
        <v>4</v>
      </c>
      <c r="D54" s="9" t="n">
        <v>46038.0326388889</v>
      </c>
      <c r="E54" s="10" t="n">
        <f aca="false">INT(D54)</f>
        <v>46038</v>
      </c>
      <c r="F54" s="2" t="n">
        <v>799</v>
      </c>
      <c r="G54" s="2" t="s">
        <v>56</v>
      </c>
      <c r="H54" s="2" t="s">
        <v>78</v>
      </c>
      <c r="I54" s="2" t="n">
        <v>44</v>
      </c>
      <c r="J54" s="2" t="str">
        <f aca="false">IFERROR(VLOOKUP($C54,merchants!$A$2:$D$41,2,FALSE()),"Merchant not found")</f>
        <v>Merchant_004</v>
      </c>
      <c r="K54" s="2" t="str">
        <f aca="false">IFERROR(VLOOKUP($C54,merchants!$A$2:$D$41,3,FALSE()),"Merchant not found")</f>
        <v>ecommerce</v>
      </c>
      <c r="L54" s="2" t="str">
        <f aca="false">IFERROR(VLOOKUP($C54,merchants!$A$2:$D$41,4,FALSE()),"Merchant not found")</f>
        <v>East</v>
      </c>
      <c r="M54" s="2" t="n">
        <f aca="false">SUMIFS($F$2:$F$548,$C$2:$C$548,C54,$E$2:$E$548,E54)</f>
        <v>799</v>
      </c>
      <c r="N54" s="2" t="str">
        <f aca="false">IF(AND(M54&gt;5000,L54&lt;&gt;"East"),"High-Value Merchant Day","No")</f>
        <v>No</v>
      </c>
    </row>
    <row r="55" customFormat="false" ht="15" hidden="false" customHeight="false" outlineLevel="0" collapsed="false">
      <c r="A55" s="2" t="s">
        <v>133</v>
      </c>
      <c r="B55" s="2" t="n">
        <v>334</v>
      </c>
      <c r="C55" s="2" t="n">
        <v>3</v>
      </c>
      <c r="D55" s="9" t="n">
        <v>46030.8361111111</v>
      </c>
      <c r="E55" s="10" t="n">
        <f aca="false">INT(D55)</f>
        <v>46030</v>
      </c>
      <c r="F55" s="2" t="n">
        <v>149</v>
      </c>
      <c r="G55" s="2" t="s">
        <v>57</v>
      </c>
      <c r="H55" s="2" t="s">
        <v>78</v>
      </c>
      <c r="I55" s="2" t="n">
        <v>96</v>
      </c>
      <c r="J55" s="2" t="str">
        <f aca="false">IFERROR(VLOOKUP($C55,merchants!$A$2:$D$41,2,FALSE()),"Merchant not found")</f>
        <v>Merchant_003</v>
      </c>
      <c r="K55" s="2" t="str">
        <f aca="false">IFERROR(VLOOKUP($C55,merchants!$A$2:$D$41,3,FALSE()),"Merchant not found")</f>
        <v>grocery</v>
      </c>
      <c r="L55" s="2" t="str">
        <f aca="false">IFERROR(VLOOKUP($C55,merchants!$A$2:$D$41,4,FALSE()),"Merchant not found")</f>
        <v>East</v>
      </c>
      <c r="M55" s="2" t="n">
        <f aca="false">SUMIFS($F$2:$F$548,$C$2:$C$548,C55,$E$2:$E$548,E55)</f>
        <v>149</v>
      </c>
      <c r="N55" s="2" t="str">
        <f aca="false">IF(AND(M55&gt;5000,L55&lt;&gt;"East"),"High-Value Merchant Day","No")</f>
        <v>No</v>
      </c>
    </row>
    <row r="56" customFormat="false" ht="15" hidden="false" customHeight="false" outlineLevel="0" collapsed="false">
      <c r="A56" s="2" t="s">
        <v>134</v>
      </c>
      <c r="B56" s="2" t="n">
        <v>11</v>
      </c>
      <c r="C56" s="2" t="n">
        <v>40</v>
      </c>
      <c r="D56" s="9" t="n">
        <v>46023.3</v>
      </c>
      <c r="E56" s="10" t="n">
        <f aca="false">INT(D56)</f>
        <v>46023</v>
      </c>
      <c r="F56" s="2" t="n">
        <v>299</v>
      </c>
      <c r="G56" s="2" t="s">
        <v>56</v>
      </c>
      <c r="H56" s="2" t="s">
        <v>78</v>
      </c>
      <c r="I56" s="2" t="n">
        <v>19</v>
      </c>
      <c r="J56" s="2" t="str">
        <f aca="false">IFERROR(VLOOKUP($C56,merchants!$A$2:$D$41,2,FALSE()),"Merchant not found")</f>
        <v>Merchant_040</v>
      </c>
      <c r="K56" s="2" t="str">
        <f aca="false">IFERROR(VLOOKUP($C56,merchants!$A$2:$D$41,3,FALSE()),"Merchant not found")</f>
        <v>entertainment</v>
      </c>
      <c r="L56" s="2" t="str">
        <f aca="false">IFERROR(VLOOKUP($C56,merchants!$A$2:$D$41,4,FALSE()),"Merchant not found")</f>
        <v>South</v>
      </c>
      <c r="M56" s="2" t="n">
        <f aca="false">SUMIFS($F$2:$F$548,$C$2:$C$548,C56,$E$2:$E$548,E56)</f>
        <v>299</v>
      </c>
      <c r="N56" s="2" t="str">
        <f aca="false">IF(AND(M56&gt;5000,L56&lt;&gt;"East"),"High-Value Merchant Day","No")</f>
        <v>No</v>
      </c>
    </row>
    <row r="57" customFormat="false" ht="15" hidden="false" customHeight="false" outlineLevel="0" collapsed="false">
      <c r="A57" s="2" t="s">
        <v>135</v>
      </c>
      <c r="B57" s="2" t="n">
        <v>343</v>
      </c>
      <c r="C57" s="2" t="n">
        <v>8</v>
      </c>
      <c r="D57" s="9" t="n">
        <v>46030.1875</v>
      </c>
      <c r="E57" s="10" t="n">
        <f aca="false">INT(D57)</f>
        <v>46030</v>
      </c>
      <c r="F57" s="2" t="n">
        <v>99</v>
      </c>
      <c r="G57" s="2" t="s">
        <v>56</v>
      </c>
      <c r="H57" s="2" t="s">
        <v>78</v>
      </c>
      <c r="I57" s="2" t="n">
        <v>72</v>
      </c>
      <c r="J57" s="2" t="str">
        <f aca="false">IFERROR(VLOOKUP($C57,merchants!$A$2:$D$41,2,FALSE()),"Merchant not found")</f>
        <v>Merchant_008</v>
      </c>
      <c r="K57" s="2" t="str">
        <f aca="false">IFERROR(VLOOKUP($C57,merchants!$A$2:$D$41,3,FALSE()),"Merchant not found")</f>
        <v>food_delivery</v>
      </c>
      <c r="L57" s="2" t="str">
        <f aca="false">IFERROR(VLOOKUP($C57,merchants!$A$2:$D$41,4,FALSE()),"Merchant not found")</f>
        <v>North</v>
      </c>
      <c r="M57" s="2" t="n">
        <f aca="false">SUMIFS($F$2:$F$548,$C$2:$C$548,C57,$E$2:$E$548,E57)</f>
        <v>99</v>
      </c>
      <c r="N57" s="2" t="str">
        <f aca="false">IF(AND(M57&gt;5000,L57&lt;&gt;"East"),"High-Value Merchant Day","No")</f>
        <v>No</v>
      </c>
    </row>
    <row r="58" customFormat="false" ht="15" hidden="false" customHeight="false" outlineLevel="0" collapsed="false">
      <c r="A58" s="2" t="s">
        <v>136</v>
      </c>
      <c r="B58" s="2" t="n">
        <v>132</v>
      </c>
      <c r="C58" s="2" t="n">
        <v>24</v>
      </c>
      <c r="D58" s="9" t="n">
        <v>46029.6138888889</v>
      </c>
      <c r="E58" s="10" t="n">
        <f aca="false">INT(D58)</f>
        <v>46029</v>
      </c>
      <c r="F58" s="2" t="n">
        <v>299</v>
      </c>
      <c r="G58" s="2" t="s">
        <v>57</v>
      </c>
      <c r="H58" s="2" t="s">
        <v>78</v>
      </c>
      <c r="I58" s="2" t="n">
        <v>21</v>
      </c>
      <c r="J58" s="2" t="str">
        <f aca="false">IFERROR(VLOOKUP($C58,merchants!$A$2:$D$41,2,FALSE()),"Merchant not found")</f>
        <v>Merchant_024</v>
      </c>
      <c r="K58" s="2" t="str">
        <f aca="false">IFERROR(VLOOKUP($C58,merchants!$A$2:$D$41,3,FALSE()),"Merchant not found")</f>
        <v>grocery</v>
      </c>
      <c r="L58" s="2" t="str">
        <f aca="false">IFERROR(VLOOKUP($C58,merchants!$A$2:$D$41,4,FALSE()),"Merchant not found")</f>
        <v>North</v>
      </c>
      <c r="M58" s="2" t="n">
        <f aca="false">SUMIFS($F$2:$F$548,$C$2:$C$548,C58,$E$2:$E$548,E58)</f>
        <v>299</v>
      </c>
      <c r="N58" s="2" t="str">
        <f aca="false">IF(AND(M58&gt;5000,L58&lt;&gt;"East"),"High-Value Merchant Day","No")</f>
        <v>No</v>
      </c>
    </row>
    <row r="59" customFormat="false" ht="15" hidden="false" customHeight="false" outlineLevel="0" collapsed="false">
      <c r="A59" s="2" t="s">
        <v>137</v>
      </c>
      <c r="B59" s="2" t="n">
        <v>59</v>
      </c>
      <c r="C59" s="2" t="n">
        <v>11</v>
      </c>
      <c r="D59" s="9" t="n">
        <v>46042.8243055556</v>
      </c>
      <c r="E59" s="10" t="n">
        <f aca="false">INT(D59)</f>
        <v>46042</v>
      </c>
      <c r="F59" s="2" t="n">
        <v>299</v>
      </c>
      <c r="G59" s="2" t="s">
        <v>56</v>
      </c>
      <c r="H59" s="2" t="s">
        <v>78</v>
      </c>
      <c r="I59" s="2" t="n">
        <v>39</v>
      </c>
      <c r="J59" s="2" t="str">
        <f aca="false">IFERROR(VLOOKUP($C59,merchants!$A$2:$D$41,2,FALSE()),"Merchant not found")</f>
        <v>Merchant_011</v>
      </c>
      <c r="K59" s="2" t="str">
        <f aca="false">IFERROR(VLOOKUP($C59,merchants!$A$2:$D$41,3,FALSE()),"Merchant not found")</f>
        <v>ecommerce</v>
      </c>
      <c r="L59" s="2" t="str">
        <f aca="false">IFERROR(VLOOKUP($C59,merchants!$A$2:$D$41,4,FALSE()),"Merchant not found")</f>
        <v>North</v>
      </c>
      <c r="M59" s="2" t="n">
        <f aca="false">SUMIFS($F$2:$F$548,$C$2:$C$548,C59,$E$2:$E$548,E59)</f>
        <v>299</v>
      </c>
      <c r="N59" s="2" t="str">
        <f aca="false">IF(AND(M59&gt;5000,L59&lt;&gt;"East"),"High-Value Merchant Day","No")</f>
        <v>No</v>
      </c>
    </row>
    <row r="60" customFormat="false" ht="15" hidden="false" customHeight="false" outlineLevel="0" collapsed="false">
      <c r="A60" s="2" t="s">
        <v>138</v>
      </c>
      <c r="B60" s="2" t="n">
        <v>160</v>
      </c>
      <c r="C60" s="2" t="n">
        <v>37</v>
      </c>
      <c r="D60" s="9" t="n">
        <v>46026.7506944445</v>
      </c>
      <c r="E60" s="10" t="n">
        <f aca="false">INT(D60)</f>
        <v>46026</v>
      </c>
      <c r="F60" s="2" t="n">
        <v>49</v>
      </c>
      <c r="G60" s="2" t="s">
        <v>57</v>
      </c>
      <c r="H60" s="2" t="s">
        <v>78</v>
      </c>
      <c r="I60" s="2" t="n">
        <v>86</v>
      </c>
      <c r="J60" s="2" t="str">
        <f aca="false">IFERROR(VLOOKUP($C60,merchants!$A$2:$D$41,2,FALSE()),"Merchant not found")</f>
        <v>Merchant_037</v>
      </c>
      <c r="K60" s="2" t="str">
        <f aca="false">IFERROR(VLOOKUP($C60,merchants!$A$2:$D$41,3,FALSE()),"Merchant not found")</f>
        <v>entertainment</v>
      </c>
      <c r="L60" s="2" t="str">
        <f aca="false">IFERROR(VLOOKUP($C60,merchants!$A$2:$D$41,4,FALSE()),"Merchant not found")</f>
        <v>South</v>
      </c>
      <c r="M60" s="2" t="n">
        <f aca="false">SUMIFS($F$2:$F$548,$C$2:$C$548,C60,$E$2:$E$548,E60)</f>
        <v>49</v>
      </c>
      <c r="N60" s="2" t="str">
        <f aca="false">IF(AND(M60&gt;5000,L60&lt;&gt;"East"),"High-Value Merchant Day","No")</f>
        <v>No</v>
      </c>
    </row>
    <row r="61" customFormat="false" ht="15" hidden="false" customHeight="false" outlineLevel="0" collapsed="false">
      <c r="A61" s="2" t="s">
        <v>139</v>
      </c>
      <c r="B61" s="2" t="n">
        <v>102</v>
      </c>
      <c r="C61" s="2" t="n">
        <v>5</v>
      </c>
      <c r="D61" s="9" t="n">
        <v>46052.5173611111</v>
      </c>
      <c r="E61" s="10" t="n">
        <f aca="false">INT(D61)</f>
        <v>46052</v>
      </c>
      <c r="F61" s="2" t="n">
        <v>2999</v>
      </c>
      <c r="G61" s="2" t="s">
        <v>56</v>
      </c>
      <c r="H61" s="2" t="s">
        <v>78</v>
      </c>
      <c r="I61" s="2" t="n">
        <v>75</v>
      </c>
      <c r="J61" s="2" t="str">
        <f aca="false">IFERROR(VLOOKUP($C61,merchants!$A$2:$D$41,2,FALSE()),"Merchant not found")</f>
        <v>Merchant_005</v>
      </c>
      <c r="K61" s="2" t="str">
        <f aca="false">IFERROR(VLOOKUP($C61,merchants!$A$2:$D$41,3,FALSE()),"Merchant not found")</f>
        <v>recharge</v>
      </c>
      <c r="L61" s="2" t="str">
        <f aca="false">IFERROR(VLOOKUP($C61,merchants!$A$2:$D$41,4,FALSE()),"Merchant not found")</f>
        <v>South</v>
      </c>
      <c r="M61" s="2" t="n">
        <f aca="false">SUMIFS($F$2:$F$548,$C$2:$C$548,C61,$E$2:$E$548,E61)</f>
        <v>2999</v>
      </c>
      <c r="N61" s="2" t="str">
        <f aca="false">IF(AND(M61&gt;5000,L61&lt;&gt;"East"),"High-Value Merchant Day","No")</f>
        <v>No</v>
      </c>
    </row>
    <row r="62" customFormat="false" ht="15" hidden="false" customHeight="false" outlineLevel="0" collapsed="false">
      <c r="A62" s="2" t="s">
        <v>140</v>
      </c>
      <c r="B62" s="2" t="n">
        <v>53</v>
      </c>
      <c r="C62" s="2" t="n">
        <v>20</v>
      </c>
      <c r="D62" s="9" t="n">
        <v>46045.84375</v>
      </c>
      <c r="E62" s="10" t="n">
        <f aca="false">INT(D62)</f>
        <v>46045</v>
      </c>
      <c r="F62" s="2" t="n">
        <v>49</v>
      </c>
      <c r="G62" s="2" t="s">
        <v>59</v>
      </c>
      <c r="H62" s="2" t="s">
        <v>78</v>
      </c>
      <c r="I62" s="2" t="n">
        <v>87</v>
      </c>
      <c r="J62" s="2" t="str">
        <f aca="false">IFERROR(VLOOKUP($C62,merchants!$A$2:$D$41,2,FALSE()),"Merchant not found")</f>
        <v>Merchant_020</v>
      </c>
      <c r="K62" s="2" t="str">
        <f aca="false">IFERROR(VLOOKUP($C62,merchants!$A$2:$D$41,3,FALSE()),"Merchant not found")</f>
        <v>food_delivery</v>
      </c>
      <c r="L62" s="2" t="str">
        <f aca="false">IFERROR(VLOOKUP($C62,merchants!$A$2:$D$41,4,FALSE()),"Merchant not found")</f>
        <v>East</v>
      </c>
      <c r="M62" s="2" t="n">
        <f aca="false">SUMIFS($F$2:$F$548,$C$2:$C$548,C62,$E$2:$E$548,E62)</f>
        <v>49</v>
      </c>
      <c r="N62" s="2" t="str">
        <f aca="false">IF(AND(M62&gt;5000,L62&lt;&gt;"East"),"High-Value Merchant Day","No")</f>
        <v>No</v>
      </c>
    </row>
    <row r="63" customFormat="false" ht="15" hidden="false" customHeight="false" outlineLevel="0" collapsed="false">
      <c r="A63" s="2" t="s">
        <v>141</v>
      </c>
      <c r="B63" s="2" t="n">
        <v>290</v>
      </c>
      <c r="C63" s="2" t="n">
        <v>3</v>
      </c>
      <c r="D63" s="9" t="n">
        <v>46042.1597222222</v>
      </c>
      <c r="E63" s="10" t="n">
        <f aca="false">INT(D63)</f>
        <v>46042</v>
      </c>
      <c r="F63" s="2" t="n">
        <v>99</v>
      </c>
      <c r="G63" s="2" t="s">
        <v>57</v>
      </c>
      <c r="H63" s="2" t="s">
        <v>78</v>
      </c>
      <c r="I63" s="2" t="n">
        <v>44</v>
      </c>
      <c r="J63" s="2" t="str">
        <f aca="false">IFERROR(VLOOKUP($C63,merchants!$A$2:$D$41,2,FALSE()),"Merchant not found")</f>
        <v>Merchant_003</v>
      </c>
      <c r="K63" s="2" t="str">
        <f aca="false">IFERROR(VLOOKUP($C63,merchants!$A$2:$D$41,3,FALSE()),"Merchant not found")</f>
        <v>grocery</v>
      </c>
      <c r="L63" s="2" t="str">
        <f aca="false">IFERROR(VLOOKUP($C63,merchants!$A$2:$D$41,4,FALSE()),"Merchant not found")</f>
        <v>East</v>
      </c>
      <c r="M63" s="2" t="n">
        <f aca="false">SUMIFS($F$2:$F$548,$C$2:$C$548,C63,$E$2:$E$548,E63)</f>
        <v>99</v>
      </c>
      <c r="N63" s="2" t="str">
        <f aca="false">IF(AND(M63&gt;5000,L63&lt;&gt;"East"),"High-Value Merchant Day","No")</f>
        <v>No</v>
      </c>
    </row>
    <row r="64" customFormat="false" ht="15" hidden="false" customHeight="false" outlineLevel="0" collapsed="false">
      <c r="A64" s="2" t="s">
        <v>142</v>
      </c>
      <c r="B64" s="2" t="n">
        <v>190</v>
      </c>
      <c r="C64" s="2" t="n">
        <v>5</v>
      </c>
      <c r="D64" s="9" t="n">
        <v>46040.5708333333</v>
      </c>
      <c r="E64" s="10" t="n">
        <f aca="false">INT(D64)</f>
        <v>46040</v>
      </c>
      <c r="F64" s="2" t="n">
        <v>299</v>
      </c>
      <c r="G64" s="2" t="s">
        <v>56</v>
      </c>
      <c r="H64" s="2" t="s">
        <v>78</v>
      </c>
      <c r="I64" s="2" t="n">
        <v>64</v>
      </c>
      <c r="J64" s="2" t="str">
        <f aca="false">IFERROR(VLOOKUP($C64,merchants!$A$2:$D$41,2,FALSE()),"Merchant not found")</f>
        <v>Merchant_005</v>
      </c>
      <c r="K64" s="2" t="str">
        <f aca="false">IFERROR(VLOOKUP($C64,merchants!$A$2:$D$41,3,FALSE()),"Merchant not found")</f>
        <v>recharge</v>
      </c>
      <c r="L64" s="2" t="str">
        <f aca="false">IFERROR(VLOOKUP($C64,merchants!$A$2:$D$41,4,FALSE()),"Merchant not found")</f>
        <v>South</v>
      </c>
      <c r="M64" s="2" t="n">
        <f aca="false">SUMIFS($F$2:$F$548,$C$2:$C$548,C64,$E$2:$E$548,E64)</f>
        <v>299</v>
      </c>
      <c r="N64" s="2" t="str">
        <f aca="false">IF(AND(M64&gt;5000,L64&lt;&gt;"East"),"High-Value Merchant Day","No")</f>
        <v>No</v>
      </c>
    </row>
    <row r="65" customFormat="false" ht="15" hidden="false" customHeight="false" outlineLevel="0" collapsed="false">
      <c r="A65" s="2" t="s">
        <v>143</v>
      </c>
      <c r="B65" s="2" t="n">
        <v>216</v>
      </c>
      <c r="C65" s="2" t="n">
        <v>32</v>
      </c>
      <c r="D65" s="9" t="n">
        <v>46043.4166666667</v>
      </c>
      <c r="E65" s="10" t="n">
        <f aca="false">INT(D65)</f>
        <v>46043</v>
      </c>
      <c r="F65" s="2" t="n">
        <v>49</v>
      </c>
      <c r="G65" s="2" t="s">
        <v>58</v>
      </c>
      <c r="H65" s="2" t="s">
        <v>78</v>
      </c>
      <c r="I65" s="2" t="n">
        <v>13</v>
      </c>
      <c r="J65" s="2" t="str">
        <f aca="false">IFERROR(VLOOKUP($C65,merchants!$A$2:$D$41,2,FALSE()),"Merchant not found")</f>
        <v>Merchant_032</v>
      </c>
      <c r="K65" s="2" t="str">
        <f aca="false">IFERROR(VLOOKUP($C65,merchants!$A$2:$D$41,3,FALSE()),"Merchant not found")</f>
        <v>food_delivery</v>
      </c>
      <c r="L65" s="2" t="str">
        <f aca="false">IFERROR(VLOOKUP($C65,merchants!$A$2:$D$41,4,FALSE()),"Merchant not found")</f>
        <v>West</v>
      </c>
      <c r="M65" s="2" t="n">
        <f aca="false">SUMIFS($F$2:$F$548,$C$2:$C$548,C65,$E$2:$E$548,E65)</f>
        <v>348</v>
      </c>
      <c r="N65" s="2" t="str">
        <f aca="false">IF(AND(M65&gt;5000,L65&lt;&gt;"East"),"High-Value Merchant Day","No")</f>
        <v>No</v>
      </c>
    </row>
    <row r="66" customFormat="false" ht="15" hidden="false" customHeight="false" outlineLevel="0" collapsed="false">
      <c r="A66" s="2" t="s">
        <v>144</v>
      </c>
      <c r="B66" s="2" t="n">
        <v>236</v>
      </c>
      <c r="C66" s="2" t="n">
        <v>10</v>
      </c>
      <c r="D66" s="9" t="n">
        <v>46036.4861111111</v>
      </c>
      <c r="E66" s="10" t="n">
        <f aca="false">INT(D66)</f>
        <v>46036</v>
      </c>
      <c r="F66" s="2" t="n">
        <v>499</v>
      </c>
      <c r="G66" s="2" t="s">
        <v>56</v>
      </c>
      <c r="H66" s="2" t="s">
        <v>78</v>
      </c>
      <c r="I66" s="2" t="n">
        <v>55</v>
      </c>
      <c r="J66" s="2" t="str">
        <f aca="false">IFERROR(VLOOKUP($C66,merchants!$A$2:$D$41,2,FALSE()),"Merchant not found")</f>
        <v>Merchant_010</v>
      </c>
      <c r="K66" s="2" t="str">
        <f aca="false">IFERROR(VLOOKUP($C66,merchants!$A$2:$D$41,3,FALSE()),"Merchant not found")</f>
        <v>grocery</v>
      </c>
      <c r="L66" s="2" t="str">
        <f aca="false">IFERROR(VLOOKUP($C66,merchants!$A$2:$D$41,4,FALSE()),"Merchant not found")</f>
        <v>West</v>
      </c>
      <c r="M66" s="2" t="n">
        <f aca="false">SUMIFS($F$2:$F$548,$C$2:$C$548,C66,$E$2:$E$548,E66)</f>
        <v>499</v>
      </c>
      <c r="N66" s="2" t="str">
        <f aca="false">IF(AND(M66&gt;5000,L66&lt;&gt;"East"),"High-Value Merchant Day","No")</f>
        <v>No</v>
      </c>
    </row>
    <row r="67" customFormat="false" ht="15" hidden="false" customHeight="false" outlineLevel="0" collapsed="false">
      <c r="A67" s="2" t="s">
        <v>145</v>
      </c>
      <c r="B67" s="2" t="n">
        <v>334</v>
      </c>
      <c r="C67" s="2" t="n">
        <v>18</v>
      </c>
      <c r="D67" s="9" t="n">
        <v>46028.98125</v>
      </c>
      <c r="E67" s="10" t="n">
        <f aca="false">INT(D67)</f>
        <v>46028</v>
      </c>
      <c r="F67" s="2" t="n">
        <v>499</v>
      </c>
      <c r="G67" s="2" t="s">
        <v>58</v>
      </c>
      <c r="H67" s="2" t="s">
        <v>78</v>
      </c>
      <c r="I67" s="2" t="n">
        <v>78</v>
      </c>
      <c r="J67" s="2" t="str">
        <f aca="false">IFERROR(VLOOKUP($C67,merchants!$A$2:$D$41,2,FALSE()),"Merchant not found")</f>
        <v>Merchant_018</v>
      </c>
      <c r="K67" s="2" t="str">
        <f aca="false">IFERROR(VLOOKUP($C67,merchants!$A$2:$D$41,3,FALSE()),"Merchant not found")</f>
        <v>grocery</v>
      </c>
      <c r="L67" s="2" t="str">
        <f aca="false">IFERROR(VLOOKUP($C67,merchants!$A$2:$D$41,4,FALSE()),"Merchant not found")</f>
        <v>West</v>
      </c>
      <c r="M67" s="2" t="n">
        <f aca="false">SUMIFS($F$2:$F$548,$C$2:$C$548,C67,$E$2:$E$548,E67)</f>
        <v>499</v>
      </c>
      <c r="N67" s="2" t="str">
        <f aca="false">IF(AND(M67&gt;5000,L67&lt;&gt;"East"),"High-Value Merchant Day","No")</f>
        <v>No</v>
      </c>
    </row>
    <row r="68" customFormat="false" ht="15" hidden="false" customHeight="false" outlineLevel="0" collapsed="false">
      <c r="A68" s="2" t="s">
        <v>146</v>
      </c>
      <c r="B68" s="2" t="n">
        <v>248</v>
      </c>
      <c r="C68" s="2" t="n">
        <v>30</v>
      </c>
      <c r="D68" s="9" t="n">
        <v>46048.7423611111</v>
      </c>
      <c r="E68" s="10" t="n">
        <f aca="false">INT(D68)</f>
        <v>46048</v>
      </c>
      <c r="F68" s="2" t="n">
        <v>799</v>
      </c>
      <c r="G68" s="2" t="s">
        <v>57</v>
      </c>
      <c r="H68" s="2" t="s">
        <v>78</v>
      </c>
      <c r="I68" s="2" t="n">
        <v>55</v>
      </c>
      <c r="J68" s="2" t="str">
        <f aca="false">IFERROR(VLOOKUP($C68,merchants!$A$2:$D$41,2,FALSE()),"Merchant not found")</f>
        <v>Merchant_030</v>
      </c>
      <c r="K68" s="2" t="str">
        <f aca="false">IFERROR(VLOOKUP($C68,merchants!$A$2:$D$41,3,FALSE()),"Merchant not found")</f>
        <v>travel</v>
      </c>
      <c r="L68" s="2" t="str">
        <f aca="false">IFERROR(VLOOKUP($C68,merchants!$A$2:$D$41,4,FALSE()),"Merchant not found")</f>
        <v>West</v>
      </c>
      <c r="M68" s="2" t="n">
        <f aca="false">SUMIFS($F$2:$F$548,$C$2:$C$548,C68,$E$2:$E$548,E68)</f>
        <v>799</v>
      </c>
      <c r="N68" s="2" t="str">
        <f aca="false">IF(AND(M68&gt;5000,L68&lt;&gt;"East"),"High-Value Merchant Day","No")</f>
        <v>No</v>
      </c>
    </row>
    <row r="69" customFormat="false" ht="15" hidden="false" customHeight="false" outlineLevel="0" collapsed="false">
      <c r="A69" s="2" t="s">
        <v>147</v>
      </c>
      <c r="B69" s="2" t="n">
        <v>138</v>
      </c>
      <c r="C69" s="2" t="n">
        <v>21</v>
      </c>
      <c r="D69" s="9" t="n">
        <v>46049.9840277778</v>
      </c>
      <c r="E69" s="10" t="n">
        <f aca="false">INT(D69)</f>
        <v>46049</v>
      </c>
      <c r="F69" s="2" t="n">
        <v>49</v>
      </c>
      <c r="G69" s="2" t="s">
        <v>58</v>
      </c>
      <c r="H69" s="2" t="s">
        <v>78</v>
      </c>
      <c r="I69" s="2" t="n">
        <v>31</v>
      </c>
      <c r="J69" s="2" t="str">
        <f aca="false">IFERROR(VLOOKUP($C69,merchants!$A$2:$D$41,2,FALSE()),"Merchant not found")</f>
        <v>Merchant_021</v>
      </c>
      <c r="K69" s="2" t="str">
        <f aca="false">IFERROR(VLOOKUP($C69,merchants!$A$2:$D$41,3,FALSE()),"Merchant not found")</f>
        <v>food_delivery</v>
      </c>
      <c r="L69" s="2" t="str">
        <f aca="false">IFERROR(VLOOKUP($C69,merchants!$A$2:$D$41,4,FALSE()),"Merchant not found")</f>
        <v>East</v>
      </c>
      <c r="M69" s="2" t="n">
        <f aca="false">SUMIFS($F$2:$F$548,$C$2:$C$548,C69,$E$2:$E$548,E69)</f>
        <v>49</v>
      </c>
      <c r="N69" s="2" t="str">
        <f aca="false">IF(AND(M69&gt;5000,L69&lt;&gt;"East"),"High-Value Merchant Day","No")</f>
        <v>No</v>
      </c>
    </row>
    <row r="70" customFormat="false" ht="15" hidden="false" customHeight="false" outlineLevel="0" collapsed="false">
      <c r="A70" s="2" t="s">
        <v>148</v>
      </c>
      <c r="B70" s="2" t="n">
        <v>231</v>
      </c>
      <c r="C70" s="2" t="n">
        <v>16</v>
      </c>
      <c r="D70" s="9" t="n">
        <v>46049.0951388889</v>
      </c>
      <c r="E70" s="10" t="n">
        <f aca="false">INT(D70)</f>
        <v>46049</v>
      </c>
      <c r="F70" s="2" t="n">
        <v>49</v>
      </c>
      <c r="G70" s="2" t="s">
        <v>56</v>
      </c>
      <c r="H70" s="2" t="s">
        <v>78</v>
      </c>
      <c r="I70" s="2" t="n">
        <v>96</v>
      </c>
      <c r="J70" s="2" t="str">
        <f aca="false">IFERROR(VLOOKUP($C70,merchants!$A$2:$D$41,2,FALSE()),"Merchant not found")</f>
        <v>Merchant_016</v>
      </c>
      <c r="K70" s="2" t="str">
        <f aca="false">IFERROR(VLOOKUP($C70,merchants!$A$2:$D$41,3,FALSE()),"Merchant not found")</f>
        <v>bill_payment</v>
      </c>
      <c r="L70" s="2" t="str">
        <f aca="false">IFERROR(VLOOKUP($C70,merchants!$A$2:$D$41,4,FALSE()),"Merchant not found")</f>
        <v>West</v>
      </c>
      <c r="M70" s="2" t="n">
        <f aca="false">SUMIFS($F$2:$F$548,$C$2:$C$548,C70,$E$2:$E$548,E70)</f>
        <v>348</v>
      </c>
      <c r="N70" s="2" t="str">
        <f aca="false">IF(AND(M70&gt;5000,L70&lt;&gt;"East"),"High-Value Merchant Day","No")</f>
        <v>No</v>
      </c>
    </row>
    <row r="71" customFormat="false" ht="15" hidden="false" customHeight="false" outlineLevel="0" collapsed="false">
      <c r="A71" s="2" t="s">
        <v>149</v>
      </c>
      <c r="B71" s="2" t="n">
        <v>343</v>
      </c>
      <c r="C71" s="2" t="n">
        <v>25</v>
      </c>
      <c r="D71" s="9" t="n">
        <v>46037.7770833333</v>
      </c>
      <c r="E71" s="10" t="n">
        <f aca="false">INT(D71)</f>
        <v>46037</v>
      </c>
      <c r="F71" s="2" t="n">
        <v>49</v>
      </c>
      <c r="G71" s="2" t="s">
        <v>56</v>
      </c>
      <c r="H71" s="2" t="s">
        <v>78</v>
      </c>
      <c r="I71" s="2" t="n">
        <v>43</v>
      </c>
      <c r="J71" s="2" t="str">
        <f aca="false">IFERROR(VLOOKUP($C71,merchants!$A$2:$D$41,2,FALSE()),"Merchant not found")</f>
        <v>Merchant_025</v>
      </c>
      <c r="K71" s="2" t="str">
        <f aca="false">IFERROR(VLOOKUP($C71,merchants!$A$2:$D$41,3,FALSE()),"Merchant not found")</f>
        <v>travel</v>
      </c>
      <c r="L71" s="2" t="str">
        <f aca="false">IFERROR(VLOOKUP($C71,merchants!$A$2:$D$41,4,FALSE()),"Merchant not found")</f>
        <v>South</v>
      </c>
      <c r="M71" s="2" t="n">
        <f aca="false">SUMIFS($F$2:$F$548,$C$2:$C$548,C71,$E$2:$E$548,E71)</f>
        <v>49</v>
      </c>
      <c r="N71" s="2" t="str">
        <f aca="false">IF(AND(M71&gt;5000,L71&lt;&gt;"East"),"High-Value Merchant Day","No")</f>
        <v>No</v>
      </c>
    </row>
    <row r="72" customFormat="false" ht="15" hidden="false" customHeight="false" outlineLevel="0" collapsed="false">
      <c r="A72" s="2" t="s">
        <v>150</v>
      </c>
      <c r="B72" s="2" t="n">
        <v>167</v>
      </c>
      <c r="C72" s="2" t="n">
        <v>12</v>
      </c>
      <c r="D72" s="9" t="n">
        <v>46023.6625</v>
      </c>
      <c r="E72" s="10" t="n">
        <f aca="false">INT(D72)</f>
        <v>46023</v>
      </c>
      <c r="F72" s="2" t="n">
        <v>499</v>
      </c>
      <c r="G72" s="2" t="s">
        <v>57</v>
      </c>
      <c r="H72" s="2" t="s">
        <v>78</v>
      </c>
      <c r="I72" s="2" t="n">
        <v>62</v>
      </c>
      <c r="J72" s="2" t="str">
        <f aca="false">IFERROR(VLOOKUP($C72,merchants!$A$2:$D$41,2,FALSE()),"Merchant not found")</f>
        <v>Merchant_012</v>
      </c>
      <c r="K72" s="2" t="str">
        <f aca="false">IFERROR(VLOOKUP($C72,merchants!$A$2:$D$41,3,FALSE()),"Merchant not found")</f>
        <v>ecommerce</v>
      </c>
      <c r="L72" s="2" t="str">
        <f aca="false">IFERROR(VLOOKUP($C72,merchants!$A$2:$D$41,4,FALSE()),"Merchant not found")</f>
        <v>East</v>
      </c>
      <c r="M72" s="2" t="n">
        <f aca="false">SUMIFS($F$2:$F$548,$C$2:$C$548,C72,$E$2:$E$548,E72)</f>
        <v>548</v>
      </c>
      <c r="N72" s="2" t="str">
        <f aca="false">IF(AND(M72&gt;5000,L72&lt;&gt;"East"),"High-Value Merchant Day","No")</f>
        <v>No</v>
      </c>
    </row>
    <row r="73" customFormat="false" ht="15" hidden="false" customHeight="false" outlineLevel="0" collapsed="false">
      <c r="A73" s="2" t="s">
        <v>151</v>
      </c>
      <c r="B73" s="2" t="n">
        <v>133</v>
      </c>
      <c r="C73" s="2" t="n">
        <v>22</v>
      </c>
      <c r="D73" s="9" t="n">
        <v>46029.49375</v>
      </c>
      <c r="E73" s="10" t="n">
        <f aca="false">INT(D73)</f>
        <v>46029</v>
      </c>
      <c r="F73" s="2" t="n">
        <v>499</v>
      </c>
      <c r="G73" s="2" t="s">
        <v>56</v>
      </c>
      <c r="H73" s="2" t="s">
        <v>78</v>
      </c>
      <c r="I73" s="2" t="n">
        <v>35</v>
      </c>
      <c r="J73" s="2" t="str">
        <f aca="false">IFERROR(VLOOKUP($C73,merchants!$A$2:$D$41,2,FALSE()),"Merchant not found")</f>
        <v>Merchant_022</v>
      </c>
      <c r="K73" s="2" t="str">
        <f aca="false">IFERROR(VLOOKUP($C73,merchants!$A$2:$D$41,3,FALSE()),"Merchant not found")</f>
        <v>travel</v>
      </c>
      <c r="L73" s="2" t="str">
        <f aca="false">IFERROR(VLOOKUP($C73,merchants!$A$2:$D$41,4,FALSE()),"Merchant not found")</f>
        <v>South</v>
      </c>
      <c r="M73" s="2" t="n">
        <f aca="false">SUMIFS($F$2:$F$548,$C$2:$C$548,C73,$E$2:$E$548,E73)</f>
        <v>499</v>
      </c>
      <c r="N73" s="2" t="str">
        <f aca="false">IF(AND(M73&gt;5000,L73&lt;&gt;"East"),"High-Value Merchant Day","No")</f>
        <v>No</v>
      </c>
    </row>
    <row r="74" customFormat="false" ht="15" hidden="false" customHeight="false" outlineLevel="0" collapsed="false">
      <c r="A74" s="2" t="s">
        <v>152</v>
      </c>
      <c r="B74" s="2" t="n">
        <v>142</v>
      </c>
      <c r="C74" s="2" t="n">
        <v>36</v>
      </c>
      <c r="D74" s="9" t="n">
        <v>46051.8222222222</v>
      </c>
      <c r="E74" s="10" t="n">
        <f aca="false">INT(D74)</f>
        <v>46051</v>
      </c>
      <c r="F74" s="2" t="n">
        <v>799</v>
      </c>
      <c r="G74" s="2" t="s">
        <v>57</v>
      </c>
      <c r="H74" s="2" t="s">
        <v>78</v>
      </c>
      <c r="I74" s="2" t="n">
        <v>1</v>
      </c>
      <c r="J74" s="2" t="str">
        <f aca="false">IFERROR(VLOOKUP($C74,merchants!$A$2:$D$41,2,FALSE()),"Merchant not found")</f>
        <v>Merchant_036</v>
      </c>
      <c r="K74" s="2" t="str">
        <f aca="false">IFERROR(VLOOKUP($C74,merchants!$A$2:$D$41,3,FALSE()),"Merchant not found")</f>
        <v>entertainment</v>
      </c>
      <c r="L74" s="2" t="str">
        <f aca="false">IFERROR(VLOOKUP($C74,merchants!$A$2:$D$41,4,FALSE()),"Merchant not found")</f>
        <v>East</v>
      </c>
      <c r="M74" s="2" t="n">
        <f aca="false">SUMIFS($F$2:$F$548,$C$2:$C$548,C74,$E$2:$E$548,E74)</f>
        <v>799</v>
      </c>
      <c r="N74" s="2" t="str">
        <f aca="false">IF(AND(M74&gt;5000,L74&lt;&gt;"East"),"High-Value Merchant Day","No")</f>
        <v>No</v>
      </c>
    </row>
    <row r="75" customFormat="false" ht="15" hidden="false" customHeight="false" outlineLevel="0" collapsed="false">
      <c r="A75" s="2" t="s">
        <v>153</v>
      </c>
      <c r="B75" s="2" t="n">
        <v>124</v>
      </c>
      <c r="C75" s="2" t="n">
        <v>27</v>
      </c>
      <c r="D75" s="9" t="n">
        <v>46039.2534722222</v>
      </c>
      <c r="E75" s="10" t="n">
        <f aca="false">INT(D75)</f>
        <v>46039</v>
      </c>
      <c r="F75" s="2" t="n">
        <v>499</v>
      </c>
      <c r="G75" s="2" t="s">
        <v>57</v>
      </c>
      <c r="H75" s="2" t="s">
        <v>78</v>
      </c>
      <c r="I75" s="2" t="n">
        <v>62</v>
      </c>
      <c r="J75" s="2" t="str">
        <f aca="false">IFERROR(VLOOKUP($C75,merchants!$A$2:$D$41,2,FALSE()),"Merchant not found")</f>
        <v>Merchant_027</v>
      </c>
      <c r="K75" s="2" t="str">
        <f aca="false">IFERROR(VLOOKUP($C75,merchants!$A$2:$D$41,3,FALSE()),"Merchant not found")</f>
        <v>ecommerce</v>
      </c>
      <c r="L75" s="2" t="str">
        <f aca="false">IFERROR(VLOOKUP($C75,merchants!$A$2:$D$41,4,FALSE()),"Merchant not found")</f>
        <v>North</v>
      </c>
      <c r="M75" s="2" t="n">
        <f aca="false">SUMIFS($F$2:$F$548,$C$2:$C$548,C75,$E$2:$E$548,E75)</f>
        <v>1597</v>
      </c>
      <c r="N75" s="2" t="str">
        <f aca="false">IF(AND(M75&gt;5000,L75&lt;&gt;"East"),"High-Value Merchant Day","No")</f>
        <v>No</v>
      </c>
    </row>
    <row r="76" customFormat="false" ht="15" hidden="false" customHeight="false" outlineLevel="0" collapsed="false">
      <c r="A76" s="2" t="s">
        <v>154</v>
      </c>
      <c r="B76" s="2" t="n">
        <v>244</v>
      </c>
      <c r="C76" s="2" t="n">
        <v>32</v>
      </c>
      <c r="D76" s="9" t="n">
        <v>46040.3222222222</v>
      </c>
      <c r="E76" s="10" t="n">
        <f aca="false">INT(D76)</f>
        <v>46040</v>
      </c>
      <c r="F76" s="2" t="n">
        <v>149</v>
      </c>
      <c r="G76" s="2" t="s">
        <v>56</v>
      </c>
      <c r="H76" s="2" t="s">
        <v>78</v>
      </c>
      <c r="I76" s="2" t="n">
        <v>57</v>
      </c>
      <c r="J76" s="2" t="str">
        <f aca="false">IFERROR(VLOOKUP($C76,merchants!$A$2:$D$41,2,FALSE()),"Merchant not found")</f>
        <v>Merchant_032</v>
      </c>
      <c r="K76" s="2" t="str">
        <f aca="false">IFERROR(VLOOKUP($C76,merchants!$A$2:$D$41,3,FALSE()),"Merchant not found")</f>
        <v>food_delivery</v>
      </c>
      <c r="L76" s="2" t="str">
        <f aca="false">IFERROR(VLOOKUP($C76,merchants!$A$2:$D$41,4,FALSE()),"Merchant not found")</f>
        <v>West</v>
      </c>
      <c r="M76" s="2" t="n">
        <f aca="false">SUMIFS($F$2:$F$548,$C$2:$C$548,C76,$E$2:$E$548,E76)</f>
        <v>149</v>
      </c>
      <c r="N76" s="2" t="str">
        <f aca="false">IF(AND(M76&gt;5000,L76&lt;&gt;"East"),"High-Value Merchant Day","No")</f>
        <v>No</v>
      </c>
    </row>
    <row r="77" customFormat="false" ht="15" hidden="false" customHeight="false" outlineLevel="0" collapsed="false">
      <c r="A77" s="2" t="s">
        <v>155</v>
      </c>
      <c r="B77" s="2" t="n">
        <v>151</v>
      </c>
      <c r="C77" s="2" t="n">
        <v>15</v>
      </c>
      <c r="D77" s="9" t="n">
        <v>46048.0034722222</v>
      </c>
      <c r="E77" s="10" t="n">
        <f aca="false">INT(D77)</f>
        <v>46048</v>
      </c>
      <c r="F77" s="2" t="n">
        <v>4999</v>
      </c>
      <c r="G77" s="2" t="s">
        <v>56</v>
      </c>
      <c r="H77" s="2" t="s">
        <v>78</v>
      </c>
      <c r="I77" s="2" t="n">
        <v>51</v>
      </c>
      <c r="J77" s="2" t="str">
        <f aca="false">IFERROR(VLOOKUP($C77,merchants!$A$2:$D$41,2,FALSE()),"Merchant not found")</f>
        <v>Merchant_015</v>
      </c>
      <c r="K77" s="2" t="str">
        <f aca="false">IFERROR(VLOOKUP($C77,merchants!$A$2:$D$41,3,FALSE()),"Merchant not found")</f>
        <v>travel</v>
      </c>
      <c r="L77" s="2" t="str">
        <f aca="false">IFERROR(VLOOKUP($C77,merchants!$A$2:$D$41,4,FALSE()),"Merchant not found")</f>
        <v>North</v>
      </c>
      <c r="M77" s="2" t="n">
        <f aca="false">SUMIFS($F$2:$F$548,$C$2:$C$548,C77,$E$2:$E$548,E77)</f>
        <v>4999</v>
      </c>
      <c r="N77" s="2" t="str">
        <f aca="false">IF(AND(M77&gt;5000,L77&lt;&gt;"East"),"High-Value Merchant Day","No")</f>
        <v>No</v>
      </c>
    </row>
    <row r="78" customFormat="false" ht="15" hidden="false" customHeight="false" outlineLevel="0" collapsed="false">
      <c r="A78" s="2" t="s">
        <v>156</v>
      </c>
      <c r="B78" s="2" t="n">
        <v>340</v>
      </c>
      <c r="C78" s="2" t="n">
        <v>38</v>
      </c>
      <c r="D78" s="9" t="n">
        <v>46045.3048611111</v>
      </c>
      <c r="E78" s="10" t="n">
        <f aca="false">INT(D78)</f>
        <v>46045</v>
      </c>
      <c r="F78" s="2" t="n">
        <v>499</v>
      </c>
      <c r="G78" s="2" t="s">
        <v>58</v>
      </c>
      <c r="H78" s="2" t="s">
        <v>78</v>
      </c>
      <c r="I78" s="2" t="n">
        <v>47</v>
      </c>
      <c r="J78" s="2" t="str">
        <f aca="false">IFERROR(VLOOKUP($C78,merchants!$A$2:$D$41,2,FALSE()),"Merchant not found")</f>
        <v>Merchant_038</v>
      </c>
      <c r="K78" s="2" t="str">
        <f aca="false">IFERROR(VLOOKUP($C78,merchants!$A$2:$D$41,3,FALSE()),"Merchant not found")</f>
        <v>grocery</v>
      </c>
      <c r="L78" s="2" t="str">
        <f aca="false">IFERROR(VLOOKUP($C78,merchants!$A$2:$D$41,4,FALSE()),"Merchant not found")</f>
        <v>East</v>
      </c>
      <c r="M78" s="2" t="n">
        <f aca="false">SUMIFS($F$2:$F$548,$C$2:$C$548,C78,$E$2:$E$548,E78)</f>
        <v>499</v>
      </c>
      <c r="N78" s="2" t="str">
        <f aca="false">IF(AND(M78&gt;5000,L78&lt;&gt;"East"),"High-Value Merchant Day","No")</f>
        <v>No</v>
      </c>
    </row>
    <row r="79" customFormat="false" ht="15" hidden="false" customHeight="false" outlineLevel="0" collapsed="false">
      <c r="A79" s="2" t="s">
        <v>157</v>
      </c>
      <c r="B79" s="2" t="n">
        <v>177</v>
      </c>
      <c r="C79" s="2" t="n">
        <v>28</v>
      </c>
      <c r="D79" s="9" t="n">
        <v>46038.73125</v>
      </c>
      <c r="E79" s="10" t="n">
        <f aca="false">INT(D79)</f>
        <v>46038</v>
      </c>
      <c r="F79" s="2" t="n">
        <v>299</v>
      </c>
      <c r="G79" s="2" t="s">
        <v>56</v>
      </c>
      <c r="H79" s="2" t="s">
        <v>78</v>
      </c>
      <c r="I79" s="2" t="n">
        <v>95</v>
      </c>
      <c r="J79" s="2" t="str">
        <f aca="false">IFERROR(VLOOKUP($C79,merchants!$A$2:$D$41,2,FALSE()),"Merchant not found")</f>
        <v>Merchant_028</v>
      </c>
      <c r="K79" s="2" t="str">
        <f aca="false">IFERROR(VLOOKUP($C79,merchants!$A$2:$D$41,3,FALSE()),"Merchant not found")</f>
        <v>ecommerce</v>
      </c>
      <c r="L79" s="2" t="str">
        <f aca="false">IFERROR(VLOOKUP($C79,merchants!$A$2:$D$41,4,FALSE()),"Merchant not found")</f>
        <v>South</v>
      </c>
      <c r="M79" s="2" t="n">
        <f aca="false">SUMIFS($F$2:$F$548,$C$2:$C$548,C79,$E$2:$E$548,E79)</f>
        <v>299</v>
      </c>
      <c r="N79" s="2" t="str">
        <f aca="false">IF(AND(M79&gt;5000,L79&lt;&gt;"East"),"High-Value Merchant Day","No")</f>
        <v>No</v>
      </c>
    </row>
    <row r="80" customFormat="false" ht="15" hidden="false" customHeight="false" outlineLevel="0" collapsed="false">
      <c r="A80" s="2" t="s">
        <v>158</v>
      </c>
      <c r="B80" s="2" t="n">
        <v>233</v>
      </c>
      <c r="C80" s="2" t="n">
        <v>18</v>
      </c>
      <c r="D80" s="9" t="n">
        <v>46040.4319444444</v>
      </c>
      <c r="E80" s="10" t="n">
        <f aca="false">INT(D80)</f>
        <v>46040</v>
      </c>
      <c r="F80" s="2" t="n">
        <v>499</v>
      </c>
      <c r="G80" s="2" t="s">
        <v>56</v>
      </c>
      <c r="H80" s="2" t="s">
        <v>78</v>
      </c>
      <c r="I80" s="2" t="n">
        <v>39</v>
      </c>
      <c r="J80" s="2" t="str">
        <f aca="false">IFERROR(VLOOKUP($C80,merchants!$A$2:$D$41,2,FALSE()),"Merchant not found")</f>
        <v>Merchant_018</v>
      </c>
      <c r="K80" s="2" t="str">
        <f aca="false">IFERROR(VLOOKUP($C80,merchants!$A$2:$D$41,3,FALSE()),"Merchant not found")</f>
        <v>grocery</v>
      </c>
      <c r="L80" s="2" t="str">
        <f aca="false">IFERROR(VLOOKUP($C80,merchants!$A$2:$D$41,4,FALSE()),"Merchant not found")</f>
        <v>West</v>
      </c>
      <c r="M80" s="2" t="n">
        <f aca="false">SUMIFS($F$2:$F$548,$C$2:$C$548,C80,$E$2:$E$548,E80)</f>
        <v>499</v>
      </c>
      <c r="N80" s="2" t="str">
        <f aca="false">IF(AND(M80&gt;5000,L80&lt;&gt;"East"),"High-Value Merchant Day","No")</f>
        <v>No</v>
      </c>
    </row>
    <row r="81" customFormat="false" ht="15" hidden="false" customHeight="false" outlineLevel="0" collapsed="false">
      <c r="A81" s="2" t="s">
        <v>159</v>
      </c>
      <c r="B81" s="2" t="n">
        <v>99</v>
      </c>
      <c r="C81" s="2" t="n">
        <v>21</v>
      </c>
      <c r="D81" s="9" t="n">
        <v>46031.2965277778</v>
      </c>
      <c r="E81" s="10" t="n">
        <f aca="false">INT(D81)</f>
        <v>46031</v>
      </c>
      <c r="F81" s="2" t="n">
        <v>499</v>
      </c>
      <c r="G81" s="2" t="s">
        <v>56</v>
      </c>
      <c r="H81" s="2" t="s">
        <v>78</v>
      </c>
      <c r="I81" s="2" t="n">
        <v>15</v>
      </c>
      <c r="J81" s="2" t="str">
        <f aca="false">IFERROR(VLOOKUP($C81,merchants!$A$2:$D$41,2,FALSE()),"Merchant not found")</f>
        <v>Merchant_021</v>
      </c>
      <c r="K81" s="2" t="str">
        <f aca="false">IFERROR(VLOOKUP($C81,merchants!$A$2:$D$41,3,FALSE()),"Merchant not found")</f>
        <v>food_delivery</v>
      </c>
      <c r="L81" s="2" t="str">
        <f aca="false">IFERROR(VLOOKUP($C81,merchants!$A$2:$D$41,4,FALSE()),"Merchant not found")</f>
        <v>East</v>
      </c>
      <c r="M81" s="2" t="n">
        <f aca="false">SUMIFS($F$2:$F$548,$C$2:$C$548,C81,$E$2:$E$548,E81)</f>
        <v>499</v>
      </c>
      <c r="N81" s="2" t="str">
        <f aca="false">IF(AND(M81&gt;5000,L81&lt;&gt;"East"),"High-Value Merchant Day","No")</f>
        <v>No</v>
      </c>
    </row>
    <row r="82" customFormat="false" ht="15" hidden="false" customHeight="false" outlineLevel="0" collapsed="false">
      <c r="A82" s="2" t="s">
        <v>160</v>
      </c>
      <c r="B82" s="2" t="n">
        <v>95</v>
      </c>
      <c r="C82" s="2" t="n">
        <v>13</v>
      </c>
      <c r="D82" s="9" t="n">
        <v>46046.7416666667</v>
      </c>
      <c r="E82" s="10" t="n">
        <f aca="false">INT(D82)</f>
        <v>46046</v>
      </c>
      <c r="F82" s="2" t="n">
        <v>2999</v>
      </c>
      <c r="G82" s="2" t="s">
        <v>59</v>
      </c>
      <c r="H82" s="2" t="s">
        <v>90</v>
      </c>
      <c r="I82" s="2" t="n">
        <v>27</v>
      </c>
      <c r="J82" s="2" t="str">
        <f aca="false">IFERROR(VLOOKUP($C82,merchants!$A$2:$D$41,2,FALSE()),"Merchant not found")</f>
        <v>Merchant_013</v>
      </c>
      <c r="K82" s="2" t="str">
        <f aca="false">IFERROR(VLOOKUP($C82,merchants!$A$2:$D$41,3,FALSE()),"Merchant not found")</f>
        <v>travel</v>
      </c>
      <c r="L82" s="2" t="str">
        <f aca="false">IFERROR(VLOOKUP($C82,merchants!$A$2:$D$41,4,FALSE()),"Merchant not found")</f>
        <v>East</v>
      </c>
      <c r="M82" s="2" t="n">
        <f aca="false">SUMIFS($F$2:$F$548,$C$2:$C$548,C82,$E$2:$E$548,E82)</f>
        <v>2999</v>
      </c>
      <c r="N82" s="2" t="str">
        <f aca="false">IF(AND(M82&gt;5000,L82&lt;&gt;"East"),"High-Value Merchant Day","No")</f>
        <v>No</v>
      </c>
    </row>
    <row r="83" customFormat="false" ht="15" hidden="false" customHeight="false" outlineLevel="0" collapsed="false">
      <c r="A83" s="2" t="s">
        <v>161</v>
      </c>
      <c r="B83" s="2" t="n">
        <v>302</v>
      </c>
      <c r="C83" s="2" t="n">
        <v>34</v>
      </c>
      <c r="D83" s="9" t="n">
        <v>46046.6368055556</v>
      </c>
      <c r="E83" s="10" t="n">
        <f aca="false">INT(D83)</f>
        <v>46046</v>
      </c>
      <c r="F83" s="2" t="n">
        <v>49</v>
      </c>
      <c r="G83" s="2" t="s">
        <v>59</v>
      </c>
      <c r="H83" s="2" t="s">
        <v>78</v>
      </c>
      <c r="I83" s="2" t="n">
        <v>76</v>
      </c>
      <c r="J83" s="2" t="str">
        <f aca="false">IFERROR(VLOOKUP($C83,merchants!$A$2:$D$41,2,FALSE()),"Merchant not found")</f>
        <v>Merchant_034</v>
      </c>
      <c r="K83" s="2" t="str">
        <f aca="false">IFERROR(VLOOKUP($C83,merchants!$A$2:$D$41,3,FALSE()),"Merchant not found")</f>
        <v>travel</v>
      </c>
      <c r="L83" s="2" t="str">
        <f aca="false">IFERROR(VLOOKUP($C83,merchants!$A$2:$D$41,4,FALSE()),"Merchant not found")</f>
        <v>South</v>
      </c>
      <c r="M83" s="2" t="n">
        <f aca="false">SUMIFS($F$2:$F$548,$C$2:$C$548,C83,$E$2:$E$548,E83)</f>
        <v>548</v>
      </c>
      <c r="N83" s="2" t="str">
        <f aca="false">IF(AND(M83&gt;5000,L83&lt;&gt;"East"),"High-Value Merchant Day","No")</f>
        <v>No</v>
      </c>
    </row>
    <row r="84" customFormat="false" ht="15" hidden="false" customHeight="false" outlineLevel="0" collapsed="false">
      <c r="A84" s="2" t="s">
        <v>162</v>
      </c>
      <c r="B84" s="2" t="n">
        <v>100</v>
      </c>
      <c r="C84" s="2" t="n">
        <v>19</v>
      </c>
      <c r="D84" s="9" t="n">
        <v>46032.1618055556</v>
      </c>
      <c r="E84" s="10" t="n">
        <f aca="false">INT(D84)</f>
        <v>46032</v>
      </c>
      <c r="F84" s="2" t="n">
        <v>2999</v>
      </c>
      <c r="G84" s="2" t="s">
        <v>59</v>
      </c>
      <c r="H84" s="2" t="s">
        <v>78</v>
      </c>
      <c r="I84" s="2" t="n">
        <v>29</v>
      </c>
      <c r="J84" s="2" t="str">
        <f aca="false">IFERROR(VLOOKUP($C84,merchants!$A$2:$D$41,2,FALSE()),"Merchant not found")</f>
        <v>Merchant_019</v>
      </c>
      <c r="K84" s="2" t="str">
        <f aca="false">IFERROR(VLOOKUP($C84,merchants!$A$2:$D$41,3,FALSE()),"Merchant not found")</f>
        <v>grocery</v>
      </c>
      <c r="L84" s="2" t="str">
        <f aca="false">IFERROR(VLOOKUP($C84,merchants!$A$2:$D$41,4,FALSE()),"Merchant not found")</f>
        <v>North</v>
      </c>
      <c r="M84" s="2" t="n">
        <f aca="false">SUMIFS($F$2:$F$548,$C$2:$C$548,C84,$E$2:$E$548,E84)</f>
        <v>2999</v>
      </c>
      <c r="N84" s="2" t="str">
        <f aca="false">IF(AND(M84&gt;5000,L84&lt;&gt;"East"),"High-Value Merchant Day","No")</f>
        <v>No</v>
      </c>
    </row>
    <row r="85" customFormat="false" ht="15" hidden="false" customHeight="false" outlineLevel="0" collapsed="false">
      <c r="A85" s="2" t="s">
        <v>163</v>
      </c>
      <c r="B85" s="2" t="n">
        <v>8</v>
      </c>
      <c r="C85" s="2" t="n">
        <v>35</v>
      </c>
      <c r="D85" s="9" t="n">
        <v>46034.2215277778</v>
      </c>
      <c r="E85" s="10" t="n">
        <f aca="false">INT(D85)</f>
        <v>46034</v>
      </c>
      <c r="F85" s="2" t="n">
        <v>99</v>
      </c>
      <c r="G85" s="2" t="s">
        <v>56</v>
      </c>
      <c r="H85" s="2" t="s">
        <v>78</v>
      </c>
      <c r="I85" s="2" t="n">
        <v>16</v>
      </c>
      <c r="J85" s="2" t="str">
        <f aca="false">IFERROR(VLOOKUP($C85,merchants!$A$2:$D$41,2,FALSE()),"Merchant not found")</f>
        <v>Merchant_035</v>
      </c>
      <c r="K85" s="2" t="str">
        <f aca="false">IFERROR(VLOOKUP($C85,merchants!$A$2:$D$41,3,FALSE()),"Merchant not found")</f>
        <v>recharge</v>
      </c>
      <c r="L85" s="2" t="str">
        <f aca="false">IFERROR(VLOOKUP($C85,merchants!$A$2:$D$41,4,FALSE()),"Merchant not found")</f>
        <v>East</v>
      </c>
      <c r="M85" s="2" t="n">
        <f aca="false">SUMIFS($F$2:$F$548,$C$2:$C$548,C85,$E$2:$E$548,E85)</f>
        <v>99</v>
      </c>
      <c r="N85" s="2" t="str">
        <f aca="false">IF(AND(M85&gt;5000,L85&lt;&gt;"East"),"High-Value Merchant Day","No")</f>
        <v>No</v>
      </c>
    </row>
    <row r="86" customFormat="false" ht="15" hidden="false" customHeight="false" outlineLevel="0" collapsed="false">
      <c r="A86" s="2" t="s">
        <v>164</v>
      </c>
      <c r="B86" s="2" t="n">
        <v>284</v>
      </c>
      <c r="C86" s="2" t="n">
        <v>19</v>
      </c>
      <c r="D86" s="9" t="n">
        <v>46031.04375</v>
      </c>
      <c r="E86" s="10" t="n">
        <f aca="false">INT(D86)</f>
        <v>46031</v>
      </c>
      <c r="F86" s="2" t="n">
        <v>99</v>
      </c>
      <c r="G86" s="2" t="s">
        <v>56</v>
      </c>
      <c r="H86" s="2" t="s">
        <v>78</v>
      </c>
      <c r="I86" s="2" t="n">
        <v>89</v>
      </c>
      <c r="J86" s="2" t="str">
        <f aca="false">IFERROR(VLOOKUP($C86,merchants!$A$2:$D$41,2,FALSE()),"Merchant not found")</f>
        <v>Merchant_019</v>
      </c>
      <c r="K86" s="2" t="str">
        <f aca="false">IFERROR(VLOOKUP($C86,merchants!$A$2:$D$41,3,FALSE()),"Merchant not found")</f>
        <v>grocery</v>
      </c>
      <c r="L86" s="2" t="str">
        <f aca="false">IFERROR(VLOOKUP($C86,merchants!$A$2:$D$41,4,FALSE()),"Merchant not found")</f>
        <v>North</v>
      </c>
      <c r="M86" s="2" t="n">
        <f aca="false">SUMIFS($F$2:$F$548,$C$2:$C$548,C86,$E$2:$E$548,E86)</f>
        <v>99</v>
      </c>
      <c r="N86" s="2" t="str">
        <f aca="false">IF(AND(M86&gt;5000,L86&lt;&gt;"East"),"High-Value Merchant Day","No")</f>
        <v>No</v>
      </c>
    </row>
    <row r="87" customFormat="false" ht="15" hidden="false" customHeight="false" outlineLevel="0" collapsed="false">
      <c r="A87" s="2" t="s">
        <v>165</v>
      </c>
      <c r="B87" s="2" t="n">
        <v>252</v>
      </c>
      <c r="C87" s="2" t="n">
        <v>7</v>
      </c>
      <c r="D87" s="9" t="n">
        <v>46027.8715277778</v>
      </c>
      <c r="E87" s="10" t="n">
        <f aca="false">INT(D87)</f>
        <v>46027</v>
      </c>
      <c r="F87" s="2" t="n">
        <v>2999</v>
      </c>
      <c r="G87" s="2" t="s">
        <v>57</v>
      </c>
      <c r="H87" s="2" t="s">
        <v>78</v>
      </c>
      <c r="I87" s="2" t="n">
        <v>1</v>
      </c>
      <c r="J87" s="2" t="str">
        <f aca="false">IFERROR(VLOOKUP($C87,merchants!$A$2:$D$41,2,FALSE()),"Merchant not found")</f>
        <v>Merchant_007</v>
      </c>
      <c r="K87" s="2" t="str">
        <f aca="false">IFERROR(VLOOKUP($C87,merchants!$A$2:$D$41,3,FALSE()),"Merchant not found")</f>
        <v>food_delivery</v>
      </c>
      <c r="L87" s="2" t="str">
        <f aca="false">IFERROR(VLOOKUP($C87,merchants!$A$2:$D$41,4,FALSE()),"Merchant not found")</f>
        <v>East</v>
      </c>
      <c r="M87" s="2" t="n">
        <f aca="false">SUMIFS($F$2:$F$548,$C$2:$C$548,C87,$E$2:$E$548,E87)</f>
        <v>4498</v>
      </c>
      <c r="N87" s="2" t="str">
        <f aca="false">IF(AND(M87&gt;5000,L87&lt;&gt;"East"),"High-Value Merchant Day","No")</f>
        <v>No</v>
      </c>
    </row>
    <row r="88" customFormat="false" ht="15" hidden="false" customHeight="false" outlineLevel="0" collapsed="false">
      <c r="A88" s="2" t="s">
        <v>166</v>
      </c>
      <c r="B88" s="2" t="n">
        <v>246</v>
      </c>
      <c r="C88" s="2" t="n">
        <v>29</v>
      </c>
      <c r="D88" s="9" t="n">
        <v>46041.3958333333</v>
      </c>
      <c r="E88" s="10" t="n">
        <f aca="false">INT(D88)</f>
        <v>46041</v>
      </c>
      <c r="F88" s="2" t="n">
        <v>49</v>
      </c>
      <c r="G88" s="2" t="s">
        <v>57</v>
      </c>
      <c r="H88" s="2" t="s">
        <v>78</v>
      </c>
      <c r="I88" s="2" t="n">
        <v>43</v>
      </c>
      <c r="J88" s="2" t="str">
        <f aca="false">IFERROR(VLOOKUP($C88,merchants!$A$2:$D$41,2,FALSE()),"Merchant not found")</f>
        <v>Merchant_029</v>
      </c>
      <c r="K88" s="2" t="str">
        <f aca="false">IFERROR(VLOOKUP($C88,merchants!$A$2:$D$41,3,FALSE()),"Merchant not found")</f>
        <v>ecommerce</v>
      </c>
      <c r="L88" s="2" t="str">
        <f aca="false">IFERROR(VLOOKUP($C88,merchants!$A$2:$D$41,4,FALSE()),"Merchant not found")</f>
        <v>North</v>
      </c>
      <c r="M88" s="2" t="n">
        <f aca="false">SUMIFS($F$2:$F$548,$C$2:$C$548,C88,$E$2:$E$548,E88)</f>
        <v>49</v>
      </c>
      <c r="N88" s="2" t="str">
        <f aca="false">IF(AND(M88&gt;5000,L88&lt;&gt;"East"),"High-Value Merchant Day","No")</f>
        <v>No</v>
      </c>
    </row>
    <row r="89" customFormat="false" ht="15" hidden="false" customHeight="false" outlineLevel="0" collapsed="false">
      <c r="A89" s="2" t="s">
        <v>167</v>
      </c>
      <c r="B89" s="2" t="n">
        <v>245</v>
      </c>
      <c r="C89" s="2" t="n">
        <v>8</v>
      </c>
      <c r="D89" s="9" t="n">
        <v>46028.0527777778</v>
      </c>
      <c r="E89" s="10" t="n">
        <f aca="false">INT(D89)</f>
        <v>46028</v>
      </c>
      <c r="F89" s="2" t="n">
        <v>49</v>
      </c>
      <c r="G89" s="2" t="s">
        <v>56</v>
      </c>
      <c r="H89" s="2" t="s">
        <v>103</v>
      </c>
      <c r="I89" s="2" t="n">
        <v>8</v>
      </c>
      <c r="J89" s="2" t="str">
        <f aca="false">IFERROR(VLOOKUP($C89,merchants!$A$2:$D$41,2,FALSE()),"Merchant not found")</f>
        <v>Merchant_008</v>
      </c>
      <c r="K89" s="2" t="str">
        <f aca="false">IFERROR(VLOOKUP($C89,merchants!$A$2:$D$41,3,FALSE()),"Merchant not found")</f>
        <v>food_delivery</v>
      </c>
      <c r="L89" s="2" t="str">
        <f aca="false">IFERROR(VLOOKUP($C89,merchants!$A$2:$D$41,4,FALSE()),"Merchant not found")</f>
        <v>North</v>
      </c>
      <c r="M89" s="2" t="n">
        <f aca="false">SUMIFS($F$2:$F$548,$C$2:$C$548,C89,$E$2:$E$548,E89)</f>
        <v>49</v>
      </c>
      <c r="N89" s="2" t="str">
        <f aca="false">IF(AND(M89&gt;5000,L89&lt;&gt;"East"),"High-Value Merchant Day","No")</f>
        <v>No</v>
      </c>
    </row>
    <row r="90" customFormat="false" ht="15" hidden="false" customHeight="false" outlineLevel="0" collapsed="false">
      <c r="A90" s="2" t="s">
        <v>168</v>
      </c>
      <c r="B90" s="2" t="n">
        <v>296</v>
      </c>
      <c r="C90" s="2" t="n">
        <v>4</v>
      </c>
      <c r="D90" s="9" t="n">
        <v>46035.6277777778</v>
      </c>
      <c r="E90" s="10" t="n">
        <f aca="false">INT(D90)</f>
        <v>46035</v>
      </c>
      <c r="F90" s="2" t="n">
        <v>799</v>
      </c>
      <c r="G90" s="2" t="s">
        <v>57</v>
      </c>
      <c r="H90" s="2" t="s">
        <v>78</v>
      </c>
      <c r="I90" s="2" t="n">
        <v>19</v>
      </c>
      <c r="J90" s="2" t="str">
        <f aca="false">IFERROR(VLOOKUP($C90,merchants!$A$2:$D$41,2,FALSE()),"Merchant not found")</f>
        <v>Merchant_004</v>
      </c>
      <c r="K90" s="2" t="str">
        <f aca="false">IFERROR(VLOOKUP($C90,merchants!$A$2:$D$41,3,FALSE()),"Merchant not found")</f>
        <v>ecommerce</v>
      </c>
      <c r="L90" s="2" t="str">
        <f aca="false">IFERROR(VLOOKUP($C90,merchants!$A$2:$D$41,4,FALSE()),"Merchant not found")</f>
        <v>East</v>
      </c>
      <c r="M90" s="2" t="n">
        <f aca="false">SUMIFS($F$2:$F$548,$C$2:$C$548,C90,$E$2:$E$548,E90)</f>
        <v>948</v>
      </c>
      <c r="N90" s="2" t="str">
        <f aca="false">IF(AND(M90&gt;5000,L90&lt;&gt;"East"),"High-Value Merchant Day","No")</f>
        <v>No</v>
      </c>
    </row>
    <row r="91" customFormat="false" ht="15" hidden="false" customHeight="false" outlineLevel="0" collapsed="false">
      <c r="A91" s="2" t="s">
        <v>169</v>
      </c>
      <c r="B91" s="2" t="n">
        <v>44</v>
      </c>
      <c r="C91" s="2" t="n">
        <v>16</v>
      </c>
      <c r="D91" s="9" t="n">
        <v>46027.7631944444</v>
      </c>
      <c r="E91" s="10" t="n">
        <f aca="false">INT(D91)</f>
        <v>46027</v>
      </c>
      <c r="F91" s="2" t="n">
        <v>149</v>
      </c>
      <c r="G91" s="2" t="s">
        <v>56</v>
      </c>
      <c r="H91" s="2" t="s">
        <v>78</v>
      </c>
      <c r="I91" s="2" t="n">
        <v>15</v>
      </c>
      <c r="J91" s="2" t="str">
        <f aca="false">IFERROR(VLOOKUP($C91,merchants!$A$2:$D$41,2,FALSE()),"Merchant not found")</f>
        <v>Merchant_016</v>
      </c>
      <c r="K91" s="2" t="str">
        <f aca="false">IFERROR(VLOOKUP($C91,merchants!$A$2:$D$41,3,FALSE()),"Merchant not found")</f>
        <v>bill_payment</v>
      </c>
      <c r="L91" s="2" t="str">
        <f aca="false">IFERROR(VLOOKUP($C91,merchants!$A$2:$D$41,4,FALSE()),"Merchant not found")</f>
        <v>West</v>
      </c>
      <c r="M91" s="2" t="n">
        <f aca="false">SUMIFS($F$2:$F$548,$C$2:$C$548,C91,$E$2:$E$548,E91)</f>
        <v>149</v>
      </c>
      <c r="N91" s="2" t="str">
        <f aca="false">IF(AND(M91&gt;5000,L91&lt;&gt;"East"),"High-Value Merchant Day","No")</f>
        <v>No</v>
      </c>
    </row>
    <row r="92" customFormat="false" ht="15" hidden="false" customHeight="false" outlineLevel="0" collapsed="false">
      <c r="A92" s="2" t="s">
        <v>170</v>
      </c>
      <c r="B92" s="2" t="n">
        <v>306</v>
      </c>
      <c r="C92" s="2" t="n">
        <v>40</v>
      </c>
      <c r="D92" s="9" t="n">
        <v>46040.5680555556</v>
      </c>
      <c r="E92" s="10" t="n">
        <f aca="false">INT(D92)</f>
        <v>46040</v>
      </c>
      <c r="F92" s="2" t="n">
        <v>799</v>
      </c>
      <c r="G92" s="2" t="s">
        <v>58</v>
      </c>
      <c r="H92" s="2" t="s">
        <v>78</v>
      </c>
      <c r="I92" s="2" t="n">
        <v>28</v>
      </c>
      <c r="J92" s="2" t="str">
        <f aca="false">IFERROR(VLOOKUP($C92,merchants!$A$2:$D$41,2,FALSE()),"Merchant not found")</f>
        <v>Merchant_040</v>
      </c>
      <c r="K92" s="2" t="str">
        <f aca="false">IFERROR(VLOOKUP($C92,merchants!$A$2:$D$41,3,FALSE()),"Merchant not found")</f>
        <v>entertainment</v>
      </c>
      <c r="L92" s="2" t="str">
        <f aca="false">IFERROR(VLOOKUP($C92,merchants!$A$2:$D$41,4,FALSE()),"Merchant not found")</f>
        <v>South</v>
      </c>
      <c r="M92" s="2" t="n">
        <f aca="false">SUMIFS($F$2:$F$548,$C$2:$C$548,C92,$E$2:$E$548,E92)</f>
        <v>799</v>
      </c>
      <c r="N92" s="2" t="str">
        <f aca="false">IF(AND(M92&gt;5000,L92&lt;&gt;"East"),"High-Value Merchant Day","No")</f>
        <v>No</v>
      </c>
    </row>
    <row r="93" customFormat="false" ht="15" hidden="false" customHeight="false" outlineLevel="0" collapsed="false">
      <c r="A93" s="2" t="s">
        <v>171</v>
      </c>
      <c r="B93" s="2" t="n">
        <v>231</v>
      </c>
      <c r="C93" s="2" t="n">
        <v>29</v>
      </c>
      <c r="D93" s="9" t="n">
        <v>46047.6833333333</v>
      </c>
      <c r="E93" s="10" t="n">
        <f aca="false">INT(D93)</f>
        <v>46047</v>
      </c>
      <c r="F93" s="2" t="n">
        <v>299</v>
      </c>
      <c r="G93" s="2" t="s">
        <v>56</v>
      </c>
      <c r="H93" s="2" t="s">
        <v>78</v>
      </c>
      <c r="I93" s="2" t="n">
        <v>38</v>
      </c>
      <c r="J93" s="2" t="str">
        <f aca="false">IFERROR(VLOOKUP($C93,merchants!$A$2:$D$41,2,FALSE()),"Merchant not found")</f>
        <v>Merchant_029</v>
      </c>
      <c r="K93" s="2" t="str">
        <f aca="false">IFERROR(VLOOKUP($C93,merchants!$A$2:$D$41,3,FALSE()),"Merchant not found")</f>
        <v>ecommerce</v>
      </c>
      <c r="L93" s="2" t="str">
        <f aca="false">IFERROR(VLOOKUP($C93,merchants!$A$2:$D$41,4,FALSE()),"Merchant not found")</f>
        <v>North</v>
      </c>
      <c r="M93" s="2" t="n">
        <f aca="false">SUMIFS($F$2:$F$548,$C$2:$C$548,C93,$E$2:$E$548,E93)</f>
        <v>3896</v>
      </c>
      <c r="N93" s="2" t="str">
        <f aca="false">IF(AND(M93&gt;5000,L93&lt;&gt;"East"),"High-Value Merchant Day","No")</f>
        <v>No</v>
      </c>
    </row>
    <row r="94" customFormat="false" ht="15" hidden="false" customHeight="false" outlineLevel="0" collapsed="false">
      <c r="A94" s="2" t="s">
        <v>172</v>
      </c>
      <c r="B94" s="2" t="n">
        <v>157</v>
      </c>
      <c r="C94" s="2" t="n">
        <v>37</v>
      </c>
      <c r="D94" s="9" t="n">
        <v>46050.76875</v>
      </c>
      <c r="E94" s="10" t="n">
        <f aca="false">INT(D94)</f>
        <v>46050</v>
      </c>
      <c r="F94" s="2" t="n">
        <v>499</v>
      </c>
      <c r="G94" s="2" t="s">
        <v>57</v>
      </c>
      <c r="H94" s="2" t="s">
        <v>78</v>
      </c>
      <c r="I94" s="2" t="n">
        <v>79</v>
      </c>
      <c r="J94" s="2" t="str">
        <f aca="false">IFERROR(VLOOKUP($C94,merchants!$A$2:$D$41,2,FALSE()),"Merchant not found")</f>
        <v>Merchant_037</v>
      </c>
      <c r="K94" s="2" t="str">
        <f aca="false">IFERROR(VLOOKUP($C94,merchants!$A$2:$D$41,3,FALSE()),"Merchant not found")</f>
        <v>entertainment</v>
      </c>
      <c r="L94" s="2" t="str">
        <f aca="false">IFERROR(VLOOKUP($C94,merchants!$A$2:$D$41,4,FALSE()),"Merchant not found")</f>
        <v>South</v>
      </c>
      <c r="M94" s="2" t="n">
        <f aca="false">SUMIFS($F$2:$F$548,$C$2:$C$548,C94,$E$2:$E$548,E94)</f>
        <v>697</v>
      </c>
      <c r="N94" s="2" t="str">
        <f aca="false">IF(AND(M94&gt;5000,L94&lt;&gt;"East"),"High-Value Merchant Day","No")</f>
        <v>No</v>
      </c>
    </row>
    <row r="95" customFormat="false" ht="15" hidden="false" customHeight="false" outlineLevel="0" collapsed="false">
      <c r="A95" s="2" t="s">
        <v>173</v>
      </c>
      <c r="B95" s="2" t="n">
        <v>51</v>
      </c>
      <c r="C95" s="2" t="n">
        <v>14</v>
      </c>
      <c r="D95" s="9" t="n">
        <v>46024.8243055556</v>
      </c>
      <c r="E95" s="10" t="n">
        <f aca="false">INT(D95)</f>
        <v>46024</v>
      </c>
      <c r="F95" s="2" t="n">
        <v>1499</v>
      </c>
      <c r="G95" s="2" t="s">
        <v>56</v>
      </c>
      <c r="H95" s="2" t="s">
        <v>78</v>
      </c>
      <c r="I95" s="2" t="n">
        <v>80</v>
      </c>
      <c r="J95" s="2" t="str">
        <f aca="false">IFERROR(VLOOKUP($C95,merchants!$A$2:$D$41,2,FALSE()),"Merchant not found")</f>
        <v>Merchant_014</v>
      </c>
      <c r="K95" s="2" t="str">
        <f aca="false">IFERROR(VLOOKUP($C95,merchants!$A$2:$D$41,3,FALSE()),"Merchant not found")</f>
        <v>grocery</v>
      </c>
      <c r="L95" s="2" t="str">
        <f aca="false">IFERROR(VLOOKUP($C95,merchants!$A$2:$D$41,4,FALSE()),"Merchant not found")</f>
        <v>East</v>
      </c>
      <c r="M95" s="2" t="n">
        <f aca="false">SUMIFS($F$2:$F$548,$C$2:$C$548,C95,$E$2:$E$548,E95)</f>
        <v>1499</v>
      </c>
      <c r="N95" s="2" t="str">
        <f aca="false">IF(AND(M95&gt;5000,L95&lt;&gt;"East"),"High-Value Merchant Day","No")</f>
        <v>No</v>
      </c>
    </row>
    <row r="96" customFormat="false" ht="15" hidden="false" customHeight="false" outlineLevel="0" collapsed="false">
      <c r="A96" s="2" t="s">
        <v>174</v>
      </c>
      <c r="B96" s="2" t="n">
        <v>42</v>
      </c>
      <c r="C96" s="2" t="n">
        <v>11</v>
      </c>
      <c r="D96" s="9" t="n">
        <v>46029.3625</v>
      </c>
      <c r="E96" s="10" t="n">
        <f aca="false">INT(D96)</f>
        <v>46029</v>
      </c>
      <c r="F96" s="2" t="n">
        <v>49</v>
      </c>
      <c r="G96" s="2" t="s">
        <v>57</v>
      </c>
      <c r="H96" s="2" t="s">
        <v>78</v>
      </c>
      <c r="I96" s="2" t="n">
        <v>30</v>
      </c>
      <c r="J96" s="2" t="str">
        <f aca="false">IFERROR(VLOOKUP($C96,merchants!$A$2:$D$41,2,FALSE()),"Merchant not found")</f>
        <v>Merchant_011</v>
      </c>
      <c r="K96" s="2" t="str">
        <f aca="false">IFERROR(VLOOKUP($C96,merchants!$A$2:$D$41,3,FALSE()),"Merchant not found")</f>
        <v>ecommerce</v>
      </c>
      <c r="L96" s="2" t="str">
        <f aca="false">IFERROR(VLOOKUP($C96,merchants!$A$2:$D$41,4,FALSE()),"Merchant not found")</f>
        <v>North</v>
      </c>
      <c r="M96" s="2" t="n">
        <f aca="false">SUMIFS($F$2:$F$548,$C$2:$C$548,C96,$E$2:$E$548,E96)</f>
        <v>49</v>
      </c>
      <c r="N96" s="2" t="str">
        <f aca="false">IF(AND(M96&gt;5000,L96&lt;&gt;"East"),"High-Value Merchant Day","No")</f>
        <v>No</v>
      </c>
    </row>
    <row r="97" customFormat="false" ht="15" hidden="false" customHeight="false" outlineLevel="0" collapsed="false">
      <c r="A97" s="2" t="s">
        <v>175</v>
      </c>
      <c r="B97" s="2" t="n">
        <v>81</v>
      </c>
      <c r="C97" s="2" t="n">
        <v>1</v>
      </c>
      <c r="D97" s="9" t="n">
        <v>46028.7111111111</v>
      </c>
      <c r="E97" s="10" t="n">
        <f aca="false">INT(D97)</f>
        <v>46028</v>
      </c>
      <c r="F97" s="2" t="n">
        <v>149</v>
      </c>
      <c r="G97" s="2" t="s">
        <v>56</v>
      </c>
      <c r="H97" s="2" t="s">
        <v>78</v>
      </c>
      <c r="I97" s="2" t="n">
        <v>52</v>
      </c>
      <c r="J97" s="2" t="str">
        <f aca="false">IFERROR(VLOOKUP($C97,merchants!$A$2:$D$41,2,FALSE()),"Merchant not found")</f>
        <v>Merchant_001</v>
      </c>
      <c r="K97" s="2" t="str">
        <f aca="false">IFERROR(VLOOKUP($C97,merchants!$A$2:$D$41,3,FALSE()),"Merchant not found")</f>
        <v>ecommerce</v>
      </c>
      <c r="L97" s="2" t="str">
        <f aca="false">IFERROR(VLOOKUP($C97,merchants!$A$2:$D$41,4,FALSE()),"Merchant not found")</f>
        <v>South</v>
      </c>
      <c r="M97" s="2" t="n">
        <f aca="false">SUMIFS($F$2:$F$548,$C$2:$C$548,C97,$E$2:$E$548,E97)</f>
        <v>149</v>
      </c>
      <c r="N97" s="2" t="str">
        <f aca="false">IF(AND(M97&gt;5000,L97&lt;&gt;"East"),"High-Value Merchant Day","No")</f>
        <v>No</v>
      </c>
    </row>
    <row r="98" customFormat="false" ht="15" hidden="false" customHeight="false" outlineLevel="0" collapsed="false">
      <c r="A98" s="2" t="s">
        <v>176</v>
      </c>
      <c r="B98" s="2" t="n">
        <v>241</v>
      </c>
      <c r="C98" s="2" t="n">
        <v>19</v>
      </c>
      <c r="D98" s="9" t="n">
        <v>46037.9430555556</v>
      </c>
      <c r="E98" s="10" t="n">
        <f aca="false">INT(D98)</f>
        <v>46037</v>
      </c>
      <c r="F98" s="2" t="n">
        <v>299</v>
      </c>
      <c r="G98" s="2" t="s">
        <v>56</v>
      </c>
      <c r="H98" s="2" t="s">
        <v>78</v>
      </c>
      <c r="I98" s="2" t="n">
        <v>4</v>
      </c>
      <c r="J98" s="2" t="str">
        <f aca="false">IFERROR(VLOOKUP($C98,merchants!$A$2:$D$41,2,FALSE()),"Merchant not found")</f>
        <v>Merchant_019</v>
      </c>
      <c r="K98" s="2" t="str">
        <f aca="false">IFERROR(VLOOKUP($C98,merchants!$A$2:$D$41,3,FALSE()),"Merchant not found")</f>
        <v>grocery</v>
      </c>
      <c r="L98" s="2" t="str">
        <f aca="false">IFERROR(VLOOKUP($C98,merchants!$A$2:$D$41,4,FALSE()),"Merchant not found")</f>
        <v>North</v>
      </c>
      <c r="M98" s="2" t="n">
        <f aca="false">SUMIFS($F$2:$F$548,$C$2:$C$548,C98,$E$2:$E$548,E98)</f>
        <v>398</v>
      </c>
      <c r="N98" s="2" t="str">
        <f aca="false">IF(AND(M98&gt;5000,L98&lt;&gt;"East"),"High-Value Merchant Day","No")</f>
        <v>No</v>
      </c>
    </row>
    <row r="99" customFormat="false" ht="15" hidden="false" customHeight="false" outlineLevel="0" collapsed="false">
      <c r="A99" s="2" t="s">
        <v>177</v>
      </c>
      <c r="B99" s="2" t="n">
        <v>145</v>
      </c>
      <c r="C99" s="2" t="n">
        <v>30</v>
      </c>
      <c r="D99" s="9" t="n">
        <v>46030.40625</v>
      </c>
      <c r="E99" s="10" t="n">
        <f aca="false">INT(D99)</f>
        <v>46030</v>
      </c>
      <c r="F99" s="2" t="n">
        <v>799</v>
      </c>
      <c r="G99" s="2" t="s">
        <v>56</v>
      </c>
      <c r="H99" s="2" t="s">
        <v>78</v>
      </c>
      <c r="I99" s="2" t="n">
        <v>9</v>
      </c>
      <c r="J99" s="2" t="str">
        <f aca="false">IFERROR(VLOOKUP($C99,merchants!$A$2:$D$41,2,FALSE()),"Merchant not found")</f>
        <v>Merchant_030</v>
      </c>
      <c r="K99" s="2" t="str">
        <f aca="false">IFERROR(VLOOKUP($C99,merchants!$A$2:$D$41,3,FALSE()),"Merchant not found")</f>
        <v>travel</v>
      </c>
      <c r="L99" s="2" t="str">
        <f aca="false">IFERROR(VLOOKUP($C99,merchants!$A$2:$D$41,4,FALSE()),"Merchant not found")</f>
        <v>West</v>
      </c>
      <c r="M99" s="2" t="n">
        <f aca="false">SUMIFS($F$2:$F$548,$C$2:$C$548,C99,$E$2:$E$548,E99)</f>
        <v>1197</v>
      </c>
      <c r="N99" s="2" t="str">
        <f aca="false">IF(AND(M99&gt;5000,L99&lt;&gt;"East"),"High-Value Merchant Day","No")</f>
        <v>No</v>
      </c>
    </row>
    <row r="100" customFormat="false" ht="15" hidden="false" customHeight="false" outlineLevel="0" collapsed="false">
      <c r="A100" s="2" t="s">
        <v>178</v>
      </c>
      <c r="B100" s="2" t="n">
        <v>136</v>
      </c>
      <c r="C100" s="2" t="n">
        <v>38</v>
      </c>
      <c r="D100" s="9" t="n">
        <v>46044.3326388889</v>
      </c>
      <c r="E100" s="10" t="n">
        <f aca="false">INT(D100)</f>
        <v>46044</v>
      </c>
      <c r="F100" s="2" t="n">
        <v>299</v>
      </c>
      <c r="G100" s="2" t="s">
        <v>58</v>
      </c>
      <c r="H100" s="2" t="s">
        <v>78</v>
      </c>
      <c r="I100" s="2" t="n">
        <v>84</v>
      </c>
      <c r="J100" s="2" t="str">
        <f aca="false">IFERROR(VLOOKUP($C100,merchants!$A$2:$D$41,2,FALSE()),"Merchant not found")</f>
        <v>Merchant_038</v>
      </c>
      <c r="K100" s="2" t="str">
        <f aca="false">IFERROR(VLOOKUP($C100,merchants!$A$2:$D$41,3,FALSE()),"Merchant not found")</f>
        <v>grocery</v>
      </c>
      <c r="L100" s="2" t="str">
        <f aca="false">IFERROR(VLOOKUP($C100,merchants!$A$2:$D$41,4,FALSE()),"Merchant not found")</f>
        <v>East</v>
      </c>
      <c r="M100" s="2" t="n">
        <f aca="false">SUMIFS($F$2:$F$548,$C$2:$C$548,C100,$E$2:$E$548,E100)</f>
        <v>299</v>
      </c>
      <c r="N100" s="2" t="str">
        <f aca="false">IF(AND(M100&gt;5000,L100&lt;&gt;"East"),"High-Value Merchant Day","No")</f>
        <v>No</v>
      </c>
    </row>
    <row r="101" customFormat="false" ht="15" hidden="false" customHeight="false" outlineLevel="0" collapsed="false">
      <c r="A101" s="2" t="s">
        <v>179</v>
      </c>
      <c r="B101" s="2" t="n">
        <v>59</v>
      </c>
      <c r="C101" s="2" t="n">
        <v>35</v>
      </c>
      <c r="D101" s="9" t="n">
        <v>46048.26875</v>
      </c>
      <c r="E101" s="10" t="n">
        <f aca="false">INT(D101)</f>
        <v>46048</v>
      </c>
      <c r="F101" s="2" t="n">
        <v>499</v>
      </c>
      <c r="G101" s="2" t="s">
        <v>56</v>
      </c>
      <c r="H101" s="2" t="s">
        <v>78</v>
      </c>
      <c r="I101" s="2" t="n">
        <v>28</v>
      </c>
      <c r="J101" s="2" t="str">
        <f aca="false">IFERROR(VLOOKUP($C101,merchants!$A$2:$D$41,2,FALSE()),"Merchant not found")</f>
        <v>Merchant_035</v>
      </c>
      <c r="K101" s="2" t="str">
        <f aca="false">IFERROR(VLOOKUP($C101,merchants!$A$2:$D$41,3,FALSE()),"Merchant not found")</f>
        <v>recharge</v>
      </c>
      <c r="L101" s="2" t="str">
        <f aca="false">IFERROR(VLOOKUP($C101,merchants!$A$2:$D$41,4,FALSE()),"Merchant not found")</f>
        <v>East</v>
      </c>
      <c r="M101" s="2" t="n">
        <f aca="false">SUMIFS($F$2:$F$548,$C$2:$C$548,C101,$E$2:$E$548,E101)</f>
        <v>499</v>
      </c>
      <c r="N101" s="2" t="str">
        <f aca="false">IF(AND(M101&gt;5000,L101&lt;&gt;"East"),"High-Value Merchant Day","No")</f>
        <v>No</v>
      </c>
    </row>
    <row r="102" customFormat="false" ht="15" hidden="false" customHeight="false" outlineLevel="0" collapsed="false">
      <c r="A102" s="2" t="s">
        <v>180</v>
      </c>
      <c r="B102" s="2" t="n">
        <v>137</v>
      </c>
      <c r="C102" s="2" t="n">
        <v>10</v>
      </c>
      <c r="D102" s="9" t="n">
        <v>46043.2069444444</v>
      </c>
      <c r="E102" s="10" t="n">
        <f aca="false">INT(D102)</f>
        <v>46043</v>
      </c>
      <c r="F102" s="2" t="n">
        <v>299</v>
      </c>
      <c r="G102" s="2" t="s">
        <v>56</v>
      </c>
      <c r="H102" s="2" t="s">
        <v>78</v>
      </c>
      <c r="I102" s="2" t="n">
        <v>9</v>
      </c>
      <c r="J102" s="2" t="str">
        <f aca="false">IFERROR(VLOOKUP($C102,merchants!$A$2:$D$41,2,FALSE()),"Merchant not found")</f>
        <v>Merchant_010</v>
      </c>
      <c r="K102" s="2" t="str">
        <f aca="false">IFERROR(VLOOKUP($C102,merchants!$A$2:$D$41,3,FALSE()),"Merchant not found")</f>
        <v>grocery</v>
      </c>
      <c r="L102" s="2" t="str">
        <f aca="false">IFERROR(VLOOKUP($C102,merchants!$A$2:$D$41,4,FALSE()),"Merchant not found")</f>
        <v>West</v>
      </c>
      <c r="M102" s="2" t="n">
        <f aca="false">SUMIFS($F$2:$F$548,$C$2:$C$548,C102,$E$2:$E$548,E102)</f>
        <v>398</v>
      </c>
      <c r="N102" s="2" t="str">
        <f aca="false">IF(AND(M102&gt;5000,L102&lt;&gt;"East"),"High-Value Merchant Day","No")</f>
        <v>No</v>
      </c>
    </row>
    <row r="103" customFormat="false" ht="15" hidden="false" customHeight="false" outlineLevel="0" collapsed="false">
      <c r="A103" s="2" t="s">
        <v>181</v>
      </c>
      <c r="B103" s="2" t="n">
        <v>158</v>
      </c>
      <c r="C103" s="2" t="n">
        <v>39</v>
      </c>
      <c r="D103" s="9" t="n">
        <v>46024.2430555556</v>
      </c>
      <c r="E103" s="10" t="n">
        <f aca="false">INT(D103)</f>
        <v>46024</v>
      </c>
      <c r="F103" s="2" t="n">
        <v>499</v>
      </c>
      <c r="G103" s="2" t="s">
        <v>59</v>
      </c>
      <c r="H103" s="2" t="s">
        <v>78</v>
      </c>
      <c r="I103" s="2" t="n">
        <v>95</v>
      </c>
      <c r="J103" s="2" t="str">
        <f aca="false">IFERROR(VLOOKUP($C103,merchants!$A$2:$D$41,2,FALSE()),"Merchant not found")</f>
        <v>Merchant_039</v>
      </c>
      <c r="K103" s="2" t="str">
        <f aca="false">IFERROR(VLOOKUP($C103,merchants!$A$2:$D$41,3,FALSE()),"Merchant not found")</f>
        <v>entertainment</v>
      </c>
      <c r="L103" s="2" t="str">
        <f aca="false">IFERROR(VLOOKUP($C103,merchants!$A$2:$D$41,4,FALSE()),"Merchant not found")</f>
        <v>North</v>
      </c>
      <c r="M103" s="2" t="n">
        <f aca="false">SUMIFS($F$2:$F$548,$C$2:$C$548,C103,$E$2:$E$548,E103)</f>
        <v>499</v>
      </c>
      <c r="N103" s="2" t="str">
        <f aca="false">IF(AND(M103&gt;5000,L103&lt;&gt;"East"),"High-Value Merchant Day","No")</f>
        <v>No</v>
      </c>
    </row>
    <row r="104" customFormat="false" ht="15" hidden="false" customHeight="false" outlineLevel="0" collapsed="false">
      <c r="A104" s="2" t="s">
        <v>182</v>
      </c>
      <c r="B104" s="2" t="n">
        <v>148</v>
      </c>
      <c r="C104" s="2" t="n">
        <v>29</v>
      </c>
      <c r="D104" s="9" t="n">
        <v>46049.7902777778</v>
      </c>
      <c r="E104" s="10" t="n">
        <f aca="false">INT(D104)</f>
        <v>46049</v>
      </c>
      <c r="F104" s="2" t="n">
        <v>99</v>
      </c>
      <c r="G104" s="2" t="s">
        <v>58</v>
      </c>
      <c r="H104" s="2" t="s">
        <v>78</v>
      </c>
      <c r="I104" s="2" t="n">
        <v>15</v>
      </c>
      <c r="J104" s="2" t="str">
        <f aca="false">IFERROR(VLOOKUP($C104,merchants!$A$2:$D$41,2,FALSE()),"Merchant not found")</f>
        <v>Merchant_029</v>
      </c>
      <c r="K104" s="2" t="str">
        <f aca="false">IFERROR(VLOOKUP($C104,merchants!$A$2:$D$41,3,FALSE()),"Merchant not found")</f>
        <v>ecommerce</v>
      </c>
      <c r="L104" s="2" t="str">
        <f aca="false">IFERROR(VLOOKUP($C104,merchants!$A$2:$D$41,4,FALSE()),"Merchant not found")</f>
        <v>North</v>
      </c>
      <c r="M104" s="2" t="n">
        <f aca="false">SUMIFS($F$2:$F$548,$C$2:$C$548,C104,$E$2:$E$548,E104)</f>
        <v>898</v>
      </c>
      <c r="N104" s="2" t="str">
        <f aca="false">IF(AND(M104&gt;5000,L104&lt;&gt;"East"),"High-Value Merchant Day","No")</f>
        <v>No</v>
      </c>
    </row>
    <row r="105" customFormat="false" ht="15" hidden="false" customHeight="false" outlineLevel="0" collapsed="false">
      <c r="A105" s="2" t="s">
        <v>183</v>
      </c>
      <c r="B105" s="2" t="n">
        <v>207</v>
      </c>
      <c r="C105" s="2" t="n">
        <v>18</v>
      </c>
      <c r="D105" s="9" t="n">
        <v>46037.9298611111</v>
      </c>
      <c r="E105" s="10" t="n">
        <f aca="false">INT(D105)</f>
        <v>46037</v>
      </c>
      <c r="F105" s="2" t="n">
        <v>149</v>
      </c>
      <c r="G105" s="2" t="s">
        <v>56</v>
      </c>
      <c r="H105" s="2" t="s">
        <v>78</v>
      </c>
      <c r="I105" s="2" t="n">
        <v>64</v>
      </c>
      <c r="J105" s="2" t="str">
        <f aca="false">IFERROR(VLOOKUP($C105,merchants!$A$2:$D$41,2,FALSE()),"Merchant not found")</f>
        <v>Merchant_018</v>
      </c>
      <c r="K105" s="2" t="str">
        <f aca="false">IFERROR(VLOOKUP($C105,merchants!$A$2:$D$41,3,FALSE()),"Merchant not found")</f>
        <v>grocery</v>
      </c>
      <c r="L105" s="2" t="str">
        <f aca="false">IFERROR(VLOOKUP($C105,merchants!$A$2:$D$41,4,FALSE()),"Merchant not found")</f>
        <v>West</v>
      </c>
      <c r="M105" s="2" t="n">
        <f aca="false">SUMIFS($F$2:$F$548,$C$2:$C$548,C105,$E$2:$E$548,E105)</f>
        <v>149</v>
      </c>
      <c r="N105" s="2" t="str">
        <f aca="false">IF(AND(M105&gt;5000,L105&lt;&gt;"East"),"High-Value Merchant Day","No")</f>
        <v>No</v>
      </c>
    </row>
    <row r="106" customFormat="false" ht="15" hidden="false" customHeight="false" outlineLevel="0" collapsed="false">
      <c r="A106" s="2" t="s">
        <v>184</v>
      </c>
      <c r="B106" s="2" t="n">
        <v>42</v>
      </c>
      <c r="C106" s="2" t="n">
        <v>39</v>
      </c>
      <c r="D106" s="9" t="n">
        <v>46040.6444444444</v>
      </c>
      <c r="E106" s="10" t="n">
        <f aca="false">INT(D106)</f>
        <v>46040</v>
      </c>
      <c r="F106" s="2" t="n">
        <v>2999</v>
      </c>
      <c r="G106" s="2" t="s">
        <v>58</v>
      </c>
      <c r="H106" s="2" t="s">
        <v>78</v>
      </c>
      <c r="I106" s="2" t="n">
        <v>5</v>
      </c>
      <c r="J106" s="2" t="str">
        <f aca="false">IFERROR(VLOOKUP($C106,merchants!$A$2:$D$41,2,FALSE()),"Merchant not found")</f>
        <v>Merchant_039</v>
      </c>
      <c r="K106" s="2" t="str">
        <f aca="false">IFERROR(VLOOKUP($C106,merchants!$A$2:$D$41,3,FALSE()),"Merchant not found")</f>
        <v>entertainment</v>
      </c>
      <c r="L106" s="2" t="str">
        <f aca="false">IFERROR(VLOOKUP($C106,merchants!$A$2:$D$41,4,FALSE()),"Merchant not found")</f>
        <v>North</v>
      </c>
      <c r="M106" s="2" t="n">
        <f aca="false">SUMIFS($F$2:$F$548,$C$2:$C$548,C106,$E$2:$E$548,E106)</f>
        <v>2999</v>
      </c>
      <c r="N106" s="2" t="str">
        <f aca="false">IF(AND(M106&gt;5000,L106&lt;&gt;"East"),"High-Value Merchant Day","No")</f>
        <v>No</v>
      </c>
    </row>
    <row r="107" customFormat="false" ht="15" hidden="false" customHeight="false" outlineLevel="0" collapsed="false">
      <c r="A107" s="2" t="s">
        <v>185</v>
      </c>
      <c r="B107" s="2" t="n">
        <v>166</v>
      </c>
      <c r="C107" s="2" t="n">
        <v>39</v>
      </c>
      <c r="D107" s="9" t="n">
        <v>46051.5743055556</v>
      </c>
      <c r="E107" s="10" t="n">
        <f aca="false">INT(D107)</f>
        <v>46051</v>
      </c>
      <c r="F107" s="2" t="n">
        <v>149</v>
      </c>
      <c r="G107" s="2" t="s">
        <v>56</v>
      </c>
      <c r="H107" s="2" t="s">
        <v>78</v>
      </c>
      <c r="I107" s="2" t="n">
        <v>32</v>
      </c>
      <c r="J107" s="2" t="str">
        <f aca="false">IFERROR(VLOOKUP($C107,merchants!$A$2:$D$41,2,FALSE()),"Merchant not found")</f>
        <v>Merchant_039</v>
      </c>
      <c r="K107" s="2" t="str">
        <f aca="false">IFERROR(VLOOKUP($C107,merchants!$A$2:$D$41,3,FALSE()),"Merchant not found")</f>
        <v>entertainment</v>
      </c>
      <c r="L107" s="2" t="str">
        <f aca="false">IFERROR(VLOOKUP($C107,merchants!$A$2:$D$41,4,FALSE()),"Merchant not found")</f>
        <v>North</v>
      </c>
      <c r="M107" s="2" t="n">
        <f aca="false">SUMIFS($F$2:$F$548,$C$2:$C$548,C107,$E$2:$E$548,E107)</f>
        <v>149</v>
      </c>
      <c r="N107" s="2" t="str">
        <f aca="false">IF(AND(M107&gt;5000,L107&lt;&gt;"East"),"High-Value Merchant Day","No")</f>
        <v>No</v>
      </c>
    </row>
    <row r="108" customFormat="false" ht="15" hidden="false" customHeight="false" outlineLevel="0" collapsed="false">
      <c r="A108" s="2" t="s">
        <v>186</v>
      </c>
      <c r="B108" s="2" t="n">
        <v>346</v>
      </c>
      <c r="C108" s="2" t="n">
        <v>37</v>
      </c>
      <c r="D108" s="9" t="n">
        <v>46023.0930555556</v>
      </c>
      <c r="E108" s="10" t="n">
        <f aca="false">INT(D108)</f>
        <v>46023</v>
      </c>
      <c r="F108" s="2" t="n">
        <v>99</v>
      </c>
      <c r="G108" s="2" t="s">
        <v>56</v>
      </c>
      <c r="H108" s="2" t="s">
        <v>78</v>
      </c>
      <c r="I108" s="2" t="n">
        <v>75</v>
      </c>
      <c r="J108" s="2" t="str">
        <f aca="false">IFERROR(VLOOKUP($C108,merchants!$A$2:$D$41,2,FALSE()),"Merchant not found")</f>
        <v>Merchant_037</v>
      </c>
      <c r="K108" s="2" t="str">
        <f aca="false">IFERROR(VLOOKUP($C108,merchants!$A$2:$D$41,3,FALSE()),"Merchant not found")</f>
        <v>entertainment</v>
      </c>
      <c r="L108" s="2" t="str">
        <f aca="false">IFERROR(VLOOKUP($C108,merchants!$A$2:$D$41,4,FALSE()),"Merchant not found")</f>
        <v>South</v>
      </c>
      <c r="M108" s="2" t="n">
        <f aca="false">SUMIFS($F$2:$F$548,$C$2:$C$548,C108,$E$2:$E$548,E108)</f>
        <v>598</v>
      </c>
      <c r="N108" s="2" t="str">
        <f aca="false">IF(AND(M108&gt;5000,L108&lt;&gt;"East"),"High-Value Merchant Day","No")</f>
        <v>No</v>
      </c>
    </row>
    <row r="109" customFormat="false" ht="15" hidden="false" customHeight="false" outlineLevel="0" collapsed="false">
      <c r="A109" s="2" t="s">
        <v>187</v>
      </c>
      <c r="B109" s="2" t="n">
        <v>138</v>
      </c>
      <c r="C109" s="2" t="n">
        <v>37</v>
      </c>
      <c r="D109" s="9" t="n">
        <v>46023.9111111111</v>
      </c>
      <c r="E109" s="10" t="n">
        <f aca="false">INT(D109)</f>
        <v>46023</v>
      </c>
      <c r="F109" s="2" t="n">
        <v>499</v>
      </c>
      <c r="G109" s="2" t="s">
        <v>56</v>
      </c>
      <c r="H109" s="2" t="s">
        <v>78</v>
      </c>
      <c r="I109" s="2" t="n">
        <v>5</v>
      </c>
      <c r="J109" s="2" t="str">
        <f aca="false">IFERROR(VLOOKUP($C109,merchants!$A$2:$D$41,2,FALSE()),"Merchant not found")</f>
        <v>Merchant_037</v>
      </c>
      <c r="K109" s="2" t="str">
        <f aca="false">IFERROR(VLOOKUP($C109,merchants!$A$2:$D$41,3,FALSE()),"Merchant not found")</f>
        <v>entertainment</v>
      </c>
      <c r="L109" s="2" t="str">
        <f aca="false">IFERROR(VLOOKUP($C109,merchants!$A$2:$D$41,4,FALSE()),"Merchant not found")</f>
        <v>South</v>
      </c>
      <c r="M109" s="2" t="n">
        <f aca="false">SUMIFS($F$2:$F$548,$C$2:$C$548,C109,$E$2:$E$548,E109)</f>
        <v>598</v>
      </c>
      <c r="N109" s="2" t="str">
        <f aca="false">IF(AND(M109&gt;5000,L109&lt;&gt;"East"),"High-Value Merchant Day","No")</f>
        <v>No</v>
      </c>
    </row>
    <row r="110" customFormat="false" ht="15" hidden="false" customHeight="false" outlineLevel="0" collapsed="false">
      <c r="A110" s="2" t="s">
        <v>188</v>
      </c>
      <c r="B110" s="2" t="n">
        <v>266</v>
      </c>
      <c r="C110" s="2" t="n">
        <v>29</v>
      </c>
      <c r="D110" s="9" t="n">
        <v>46047.2291666667</v>
      </c>
      <c r="E110" s="10" t="n">
        <f aca="false">INT(D110)</f>
        <v>46047</v>
      </c>
      <c r="F110" s="2" t="n">
        <v>499</v>
      </c>
      <c r="G110" s="2" t="s">
        <v>57</v>
      </c>
      <c r="H110" s="2" t="s">
        <v>90</v>
      </c>
      <c r="I110" s="2" t="n">
        <v>35</v>
      </c>
      <c r="J110" s="2" t="str">
        <f aca="false">IFERROR(VLOOKUP($C110,merchants!$A$2:$D$41,2,FALSE()),"Merchant not found")</f>
        <v>Merchant_029</v>
      </c>
      <c r="K110" s="2" t="str">
        <f aca="false">IFERROR(VLOOKUP($C110,merchants!$A$2:$D$41,3,FALSE()),"Merchant not found")</f>
        <v>ecommerce</v>
      </c>
      <c r="L110" s="2" t="str">
        <f aca="false">IFERROR(VLOOKUP($C110,merchants!$A$2:$D$41,4,FALSE()),"Merchant not found")</f>
        <v>North</v>
      </c>
      <c r="M110" s="2" t="n">
        <f aca="false">SUMIFS($F$2:$F$548,$C$2:$C$548,C110,$E$2:$E$548,E110)</f>
        <v>3896</v>
      </c>
      <c r="N110" s="2" t="str">
        <f aca="false">IF(AND(M110&gt;5000,L110&lt;&gt;"East"),"High-Value Merchant Day","No")</f>
        <v>No</v>
      </c>
    </row>
    <row r="111" customFormat="false" ht="15" hidden="false" customHeight="false" outlineLevel="0" collapsed="false">
      <c r="A111" s="2" t="s">
        <v>189</v>
      </c>
      <c r="B111" s="2" t="n">
        <v>326</v>
      </c>
      <c r="C111" s="2" t="n">
        <v>32</v>
      </c>
      <c r="D111" s="9" t="n">
        <v>46028.76875</v>
      </c>
      <c r="E111" s="10" t="n">
        <f aca="false">INT(D111)</f>
        <v>46028</v>
      </c>
      <c r="F111" s="2" t="n">
        <v>149</v>
      </c>
      <c r="G111" s="2" t="s">
        <v>56</v>
      </c>
      <c r="H111" s="2" t="s">
        <v>78</v>
      </c>
      <c r="I111" s="2" t="n">
        <v>11</v>
      </c>
      <c r="J111" s="2" t="str">
        <f aca="false">IFERROR(VLOOKUP($C111,merchants!$A$2:$D$41,2,FALSE()),"Merchant not found")</f>
        <v>Merchant_032</v>
      </c>
      <c r="K111" s="2" t="str">
        <f aca="false">IFERROR(VLOOKUP($C111,merchants!$A$2:$D$41,3,FALSE()),"Merchant not found")</f>
        <v>food_delivery</v>
      </c>
      <c r="L111" s="2" t="str">
        <f aca="false">IFERROR(VLOOKUP($C111,merchants!$A$2:$D$41,4,FALSE()),"Merchant not found")</f>
        <v>West</v>
      </c>
      <c r="M111" s="2" t="n">
        <f aca="false">SUMIFS($F$2:$F$548,$C$2:$C$548,C111,$E$2:$E$548,E111)</f>
        <v>149</v>
      </c>
      <c r="N111" s="2" t="str">
        <f aca="false">IF(AND(M111&gt;5000,L111&lt;&gt;"East"),"High-Value Merchant Day","No")</f>
        <v>No</v>
      </c>
    </row>
    <row r="112" customFormat="false" ht="15" hidden="false" customHeight="false" outlineLevel="0" collapsed="false">
      <c r="A112" s="2" t="s">
        <v>190</v>
      </c>
      <c r="B112" s="2" t="n">
        <v>171</v>
      </c>
      <c r="C112" s="2" t="n">
        <v>21</v>
      </c>
      <c r="D112" s="9" t="n">
        <v>46038.4763888889</v>
      </c>
      <c r="E112" s="10" t="n">
        <f aca="false">INT(D112)</f>
        <v>46038</v>
      </c>
      <c r="F112" s="2" t="n">
        <v>799</v>
      </c>
      <c r="G112" s="2" t="s">
        <v>56</v>
      </c>
      <c r="H112" s="2" t="s">
        <v>78</v>
      </c>
      <c r="I112" s="2" t="n">
        <v>85</v>
      </c>
      <c r="J112" s="2" t="str">
        <f aca="false">IFERROR(VLOOKUP($C112,merchants!$A$2:$D$41,2,FALSE()),"Merchant not found")</f>
        <v>Merchant_021</v>
      </c>
      <c r="K112" s="2" t="str">
        <f aca="false">IFERROR(VLOOKUP($C112,merchants!$A$2:$D$41,3,FALSE()),"Merchant not found")</f>
        <v>food_delivery</v>
      </c>
      <c r="L112" s="2" t="str">
        <f aca="false">IFERROR(VLOOKUP($C112,merchants!$A$2:$D$41,4,FALSE()),"Merchant not found")</f>
        <v>East</v>
      </c>
      <c r="M112" s="2" t="n">
        <f aca="false">SUMIFS($F$2:$F$548,$C$2:$C$548,C112,$E$2:$E$548,E112)</f>
        <v>799</v>
      </c>
      <c r="N112" s="2" t="str">
        <f aca="false">IF(AND(M112&gt;5000,L112&lt;&gt;"East"),"High-Value Merchant Day","No")</f>
        <v>No</v>
      </c>
    </row>
    <row r="113" customFormat="false" ht="15" hidden="false" customHeight="false" outlineLevel="0" collapsed="false">
      <c r="A113" s="2" t="s">
        <v>191</v>
      </c>
      <c r="B113" s="2" t="n">
        <v>211</v>
      </c>
      <c r="C113" s="2" t="n">
        <v>32</v>
      </c>
      <c r="D113" s="9" t="n">
        <v>46026.2229166667</v>
      </c>
      <c r="E113" s="10" t="n">
        <f aca="false">INT(D113)</f>
        <v>46026</v>
      </c>
      <c r="F113" s="2" t="n">
        <v>49</v>
      </c>
      <c r="G113" s="2" t="s">
        <v>56</v>
      </c>
      <c r="H113" s="2" t="s">
        <v>78</v>
      </c>
      <c r="I113" s="2" t="n">
        <v>36</v>
      </c>
      <c r="J113" s="2" t="str">
        <f aca="false">IFERROR(VLOOKUP($C113,merchants!$A$2:$D$41,2,FALSE()),"Merchant not found")</f>
        <v>Merchant_032</v>
      </c>
      <c r="K113" s="2" t="str">
        <f aca="false">IFERROR(VLOOKUP($C113,merchants!$A$2:$D$41,3,FALSE()),"Merchant not found")</f>
        <v>food_delivery</v>
      </c>
      <c r="L113" s="2" t="str">
        <f aca="false">IFERROR(VLOOKUP($C113,merchants!$A$2:$D$41,4,FALSE()),"Merchant not found")</f>
        <v>West</v>
      </c>
      <c r="M113" s="2" t="n">
        <f aca="false">SUMIFS($F$2:$F$548,$C$2:$C$548,C113,$E$2:$E$548,E113)</f>
        <v>49</v>
      </c>
      <c r="N113" s="2" t="str">
        <f aca="false">IF(AND(M113&gt;5000,L113&lt;&gt;"East"),"High-Value Merchant Day","No")</f>
        <v>No</v>
      </c>
    </row>
    <row r="114" customFormat="false" ht="15" hidden="false" customHeight="false" outlineLevel="0" collapsed="false">
      <c r="A114" s="2" t="s">
        <v>192</v>
      </c>
      <c r="B114" s="2" t="n">
        <v>282</v>
      </c>
      <c r="C114" s="2" t="n">
        <v>3</v>
      </c>
      <c r="D114" s="9" t="n">
        <v>46044.5361111111</v>
      </c>
      <c r="E114" s="10" t="n">
        <f aca="false">INT(D114)</f>
        <v>46044</v>
      </c>
      <c r="F114" s="2" t="n">
        <v>499</v>
      </c>
      <c r="G114" s="2" t="s">
        <v>56</v>
      </c>
      <c r="H114" s="2" t="s">
        <v>78</v>
      </c>
      <c r="I114" s="2" t="n">
        <v>58</v>
      </c>
      <c r="J114" s="2" t="str">
        <f aca="false">IFERROR(VLOOKUP($C114,merchants!$A$2:$D$41,2,FALSE()),"Merchant not found")</f>
        <v>Merchant_003</v>
      </c>
      <c r="K114" s="2" t="str">
        <f aca="false">IFERROR(VLOOKUP($C114,merchants!$A$2:$D$41,3,FALSE()),"Merchant not found")</f>
        <v>grocery</v>
      </c>
      <c r="L114" s="2" t="str">
        <f aca="false">IFERROR(VLOOKUP($C114,merchants!$A$2:$D$41,4,FALSE()),"Merchant not found")</f>
        <v>East</v>
      </c>
      <c r="M114" s="2" t="n">
        <f aca="false">SUMIFS($F$2:$F$548,$C$2:$C$548,C114,$E$2:$E$548,E114)</f>
        <v>499</v>
      </c>
      <c r="N114" s="2" t="str">
        <f aca="false">IF(AND(M114&gt;5000,L114&lt;&gt;"East"),"High-Value Merchant Day","No")</f>
        <v>No</v>
      </c>
    </row>
    <row r="115" customFormat="false" ht="15" hidden="false" customHeight="false" outlineLevel="0" collapsed="false">
      <c r="A115" s="2" t="s">
        <v>193</v>
      </c>
      <c r="B115" s="2" t="n">
        <v>166</v>
      </c>
      <c r="C115" s="2" t="n">
        <v>8</v>
      </c>
      <c r="D115" s="9" t="n">
        <v>46025.4277777778</v>
      </c>
      <c r="E115" s="10" t="n">
        <f aca="false">INT(D115)</f>
        <v>46025</v>
      </c>
      <c r="F115" s="2" t="n">
        <v>299</v>
      </c>
      <c r="G115" s="2" t="s">
        <v>56</v>
      </c>
      <c r="H115" s="2" t="s">
        <v>78</v>
      </c>
      <c r="I115" s="2" t="n">
        <v>98</v>
      </c>
      <c r="J115" s="2" t="str">
        <f aca="false">IFERROR(VLOOKUP($C115,merchants!$A$2:$D$41,2,FALSE()),"Merchant not found")</f>
        <v>Merchant_008</v>
      </c>
      <c r="K115" s="2" t="str">
        <f aca="false">IFERROR(VLOOKUP($C115,merchants!$A$2:$D$41,3,FALSE()),"Merchant not found")</f>
        <v>food_delivery</v>
      </c>
      <c r="L115" s="2" t="str">
        <f aca="false">IFERROR(VLOOKUP($C115,merchants!$A$2:$D$41,4,FALSE()),"Merchant not found")</f>
        <v>North</v>
      </c>
      <c r="M115" s="2" t="n">
        <f aca="false">SUMIFS($F$2:$F$548,$C$2:$C$548,C115,$E$2:$E$548,E115)</f>
        <v>299</v>
      </c>
      <c r="N115" s="2" t="str">
        <f aca="false">IF(AND(M115&gt;5000,L115&lt;&gt;"East"),"High-Value Merchant Day","No")</f>
        <v>No</v>
      </c>
    </row>
    <row r="116" customFormat="false" ht="15" hidden="false" customHeight="false" outlineLevel="0" collapsed="false">
      <c r="A116" s="2" t="s">
        <v>194</v>
      </c>
      <c r="B116" s="2" t="n">
        <v>1</v>
      </c>
      <c r="C116" s="2" t="n">
        <v>35</v>
      </c>
      <c r="D116" s="9" t="n">
        <v>46035.7027777778</v>
      </c>
      <c r="E116" s="10" t="n">
        <f aca="false">INT(D116)</f>
        <v>46035</v>
      </c>
      <c r="F116" s="2" t="n">
        <v>149</v>
      </c>
      <c r="G116" s="2" t="s">
        <v>56</v>
      </c>
      <c r="H116" s="2" t="s">
        <v>78</v>
      </c>
      <c r="I116" s="2" t="n">
        <v>59</v>
      </c>
      <c r="J116" s="2" t="str">
        <f aca="false">IFERROR(VLOOKUP($C116,merchants!$A$2:$D$41,2,FALSE()),"Merchant not found")</f>
        <v>Merchant_035</v>
      </c>
      <c r="K116" s="2" t="str">
        <f aca="false">IFERROR(VLOOKUP($C116,merchants!$A$2:$D$41,3,FALSE()),"Merchant not found")</f>
        <v>recharge</v>
      </c>
      <c r="L116" s="2" t="str">
        <f aca="false">IFERROR(VLOOKUP($C116,merchants!$A$2:$D$41,4,FALSE()),"Merchant not found")</f>
        <v>East</v>
      </c>
      <c r="M116" s="2" t="n">
        <f aca="false">SUMIFS($F$2:$F$548,$C$2:$C$548,C116,$E$2:$E$548,E116)</f>
        <v>149</v>
      </c>
      <c r="N116" s="2" t="str">
        <f aca="false">IF(AND(M116&gt;5000,L116&lt;&gt;"East"),"High-Value Merchant Day","No")</f>
        <v>No</v>
      </c>
    </row>
    <row r="117" customFormat="false" ht="15" hidden="false" customHeight="false" outlineLevel="0" collapsed="false">
      <c r="A117" s="2" t="s">
        <v>195</v>
      </c>
      <c r="B117" s="2" t="n">
        <v>266</v>
      </c>
      <c r="C117" s="2" t="n">
        <v>24</v>
      </c>
      <c r="D117" s="9" t="n">
        <v>46036.05</v>
      </c>
      <c r="E117" s="10" t="n">
        <f aca="false">INT(D117)</f>
        <v>46036</v>
      </c>
      <c r="F117" s="2" t="n">
        <v>499</v>
      </c>
      <c r="G117" s="2" t="s">
        <v>56</v>
      </c>
      <c r="H117" s="2" t="s">
        <v>78</v>
      </c>
      <c r="I117" s="2" t="n">
        <v>79</v>
      </c>
      <c r="J117" s="2" t="str">
        <f aca="false">IFERROR(VLOOKUP($C117,merchants!$A$2:$D$41,2,FALSE()),"Merchant not found")</f>
        <v>Merchant_024</v>
      </c>
      <c r="K117" s="2" t="str">
        <f aca="false">IFERROR(VLOOKUP($C117,merchants!$A$2:$D$41,3,FALSE()),"Merchant not found")</f>
        <v>grocery</v>
      </c>
      <c r="L117" s="2" t="str">
        <f aca="false">IFERROR(VLOOKUP($C117,merchants!$A$2:$D$41,4,FALSE()),"Merchant not found")</f>
        <v>North</v>
      </c>
      <c r="M117" s="2" t="n">
        <f aca="false">SUMIFS($F$2:$F$548,$C$2:$C$548,C117,$E$2:$E$548,E117)</f>
        <v>499</v>
      </c>
      <c r="N117" s="2" t="str">
        <f aca="false">IF(AND(M117&gt;5000,L117&lt;&gt;"East"),"High-Value Merchant Day","No")</f>
        <v>No</v>
      </c>
    </row>
    <row r="118" customFormat="false" ht="15" hidden="false" customHeight="false" outlineLevel="0" collapsed="false">
      <c r="A118" s="2" t="s">
        <v>196</v>
      </c>
      <c r="B118" s="2" t="n">
        <v>227</v>
      </c>
      <c r="C118" s="2" t="n">
        <v>4</v>
      </c>
      <c r="D118" s="9" t="n">
        <v>46047.6527777778</v>
      </c>
      <c r="E118" s="10" t="n">
        <f aca="false">INT(D118)</f>
        <v>46047</v>
      </c>
      <c r="F118" s="2" t="n">
        <v>499</v>
      </c>
      <c r="G118" s="2" t="s">
        <v>56</v>
      </c>
      <c r="H118" s="2" t="s">
        <v>78</v>
      </c>
      <c r="I118" s="2" t="n">
        <v>26</v>
      </c>
      <c r="J118" s="2" t="str">
        <f aca="false">IFERROR(VLOOKUP($C118,merchants!$A$2:$D$41,2,FALSE()),"Merchant not found")</f>
        <v>Merchant_004</v>
      </c>
      <c r="K118" s="2" t="str">
        <f aca="false">IFERROR(VLOOKUP($C118,merchants!$A$2:$D$41,3,FALSE()),"Merchant not found")</f>
        <v>ecommerce</v>
      </c>
      <c r="L118" s="2" t="str">
        <f aca="false">IFERROR(VLOOKUP($C118,merchants!$A$2:$D$41,4,FALSE()),"Merchant not found")</f>
        <v>East</v>
      </c>
      <c r="M118" s="2" t="n">
        <f aca="false">SUMIFS($F$2:$F$548,$C$2:$C$548,C118,$E$2:$E$548,E118)</f>
        <v>1998</v>
      </c>
      <c r="N118" s="2" t="str">
        <f aca="false">IF(AND(M118&gt;5000,L118&lt;&gt;"East"),"High-Value Merchant Day","No")</f>
        <v>No</v>
      </c>
    </row>
    <row r="119" customFormat="false" ht="15" hidden="false" customHeight="false" outlineLevel="0" collapsed="false">
      <c r="A119" s="2" t="s">
        <v>197</v>
      </c>
      <c r="B119" s="2" t="n">
        <v>148</v>
      </c>
      <c r="C119" s="2" t="n">
        <v>29</v>
      </c>
      <c r="D119" s="9" t="n">
        <v>46031.7138888889</v>
      </c>
      <c r="E119" s="10" t="n">
        <f aca="false">INT(D119)</f>
        <v>46031</v>
      </c>
      <c r="F119" s="2" t="n">
        <v>499</v>
      </c>
      <c r="G119" s="2" t="s">
        <v>56</v>
      </c>
      <c r="H119" s="2" t="s">
        <v>78</v>
      </c>
      <c r="I119" s="2" t="n">
        <v>89</v>
      </c>
      <c r="J119" s="2" t="str">
        <f aca="false">IFERROR(VLOOKUP($C119,merchants!$A$2:$D$41,2,FALSE()),"Merchant not found")</f>
        <v>Merchant_029</v>
      </c>
      <c r="K119" s="2" t="str">
        <f aca="false">IFERROR(VLOOKUP($C119,merchants!$A$2:$D$41,3,FALSE()),"Merchant not found")</f>
        <v>ecommerce</v>
      </c>
      <c r="L119" s="2" t="str">
        <f aca="false">IFERROR(VLOOKUP($C119,merchants!$A$2:$D$41,4,FALSE()),"Merchant not found")</f>
        <v>North</v>
      </c>
      <c r="M119" s="2" t="n">
        <f aca="false">SUMIFS($F$2:$F$548,$C$2:$C$548,C119,$E$2:$E$548,E119)</f>
        <v>499</v>
      </c>
      <c r="N119" s="2" t="str">
        <f aca="false">IF(AND(M119&gt;5000,L119&lt;&gt;"East"),"High-Value Merchant Day","No")</f>
        <v>No</v>
      </c>
    </row>
    <row r="120" customFormat="false" ht="15" hidden="false" customHeight="false" outlineLevel="0" collapsed="false">
      <c r="A120" s="2" t="s">
        <v>198</v>
      </c>
      <c r="B120" s="2" t="n">
        <v>323</v>
      </c>
      <c r="C120" s="2" t="n">
        <v>39</v>
      </c>
      <c r="D120" s="9" t="n">
        <v>46038.1256944445</v>
      </c>
      <c r="E120" s="10" t="n">
        <f aca="false">INT(D120)</f>
        <v>46038</v>
      </c>
      <c r="F120" s="2" t="n">
        <v>499</v>
      </c>
      <c r="G120" s="2" t="s">
        <v>56</v>
      </c>
      <c r="H120" s="2" t="s">
        <v>78</v>
      </c>
      <c r="I120" s="2" t="n">
        <v>30</v>
      </c>
      <c r="J120" s="2" t="str">
        <f aca="false">IFERROR(VLOOKUP($C120,merchants!$A$2:$D$41,2,FALSE()),"Merchant not found")</f>
        <v>Merchant_039</v>
      </c>
      <c r="K120" s="2" t="str">
        <f aca="false">IFERROR(VLOOKUP($C120,merchants!$A$2:$D$41,3,FALSE()),"Merchant not found")</f>
        <v>entertainment</v>
      </c>
      <c r="L120" s="2" t="str">
        <f aca="false">IFERROR(VLOOKUP($C120,merchants!$A$2:$D$41,4,FALSE()),"Merchant not found")</f>
        <v>North</v>
      </c>
      <c r="M120" s="2" t="n">
        <f aca="false">SUMIFS($F$2:$F$548,$C$2:$C$548,C120,$E$2:$E$548,E120)</f>
        <v>499</v>
      </c>
      <c r="N120" s="2" t="str">
        <f aca="false">IF(AND(M120&gt;5000,L120&lt;&gt;"East"),"High-Value Merchant Day","No")</f>
        <v>No</v>
      </c>
    </row>
    <row r="121" customFormat="false" ht="15" hidden="false" customHeight="false" outlineLevel="0" collapsed="false">
      <c r="A121" s="2" t="s">
        <v>199</v>
      </c>
      <c r="B121" s="2" t="n">
        <v>283</v>
      </c>
      <c r="C121" s="2" t="n">
        <v>1</v>
      </c>
      <c r="D121" s="9" t="n">
        <v>46045.2215277778</v>
      </c>
      <c r="E121" s="10" t="n">
        <f aca="false">INT(D121)</f>
        <v>46045</v>
      </c>
      <c r="F121" s="2" t="n">
        <v>2999</v>
      </c>
      <c r="G121" s="2" t="s">
        <v>57</v>
      </c>
      <c r="H121" s="2" t="s">
        <v>78</v>
      </c>
      <c r="I121" s="2" t="n">
        <v>70</v>
      </c>
      <c r="J121" s="2" t="str">
        <f aca="false">IFERROR(VLOOKUP($C121,merchants!$A$2:$D$41,2,FALSE()),"Merchant not found")</f>
        <v>Merchant_001</v>
      </c>
      <c r="K121" s="2" t="str">
        <f aca="false">IFERROR(VLOOKUP($C121,merchants!$A$2:$D$41,3,FALSE()),"Merchant not found")</f>
        <v>ecommerce</v>
      </c>
      <c r="L121" s="2" t="str">
        <f aca="false">IFERROR(VLOOKUP($C121,merchants!$A$2:$D$41,4,FALSE()),"Merchant not found")</f>
        <v>South</v>
      </c>
      <c r="M121" s="2" t="n">
        <f aca="false">SUMIFS($F$2:$F$548,$C$2:$C$548,C121,$E$2:$E$548,E121)</f>
        <v>3148</v>
      </c>
      <c r="N121" s="2" t="str">
        <f aca="false">IF(AND(M121&gt;5000,L121&lt;&gt;"East"),"High-Value Merchant Day","No")</f>
        <v>No</v>
      </c>
    </row>
    <row r="122" customFormat="false" ht="15" hidden="false" customHeight="false" outlineLevel="0" collapsed="false">
      <c r="A122" s="2" t="s">
        <v>200</v>
      </c>
      <c r="B122" s="2" t="n">
        <v>59</v>
      </c>
      <c r="C122" s="2" t="n">
        <v>30</v>
      </c>
      <c r="D122" s="9" t="n">
        <v>46036.0930555556</v>
      </c>
      <c r="E122" s="10" t="n">
        <f aca="false">INT(D122)</f>
        <v>46036</v>
      </c>
      <c r="F122" s="2" t="n">
        <v>499</v>
      </c>
      <c r="G122" s="2" t="s">
        <v>56</v>
      </c>
      <c r="H122" s="2" t="s">
        <v>78</v>
      </c>
      <c r="I122" s="2" t="n">
        <v>15</v>
      </c>
      <c r="J122" s="2" t="str">
        <f aca="false">IFERROR(VLOOKUP($C122,merchants!$A$2:$D$41,2,FALSE()),"Merchant not found")</f>
        <v>Merchant_030</v>
      </c>
      <c r="K122" s="2" t="str">
        <f aca="false">IFERROR(VLOOKUP($C122,merchants!$A$2:$D$41,3,FALSE()),"Merchant not found")</f>
        <v>travel</v>
      </c>
      <c r="L122" s="2" t="str">
        <f aca="false">IFERROR(VLOOKUP($C122,merchants!$A$2:$D$41,4,FALSE()),"Merchant not found")</f>
        <v>West</v>
      </c>
      <c r="M122" s="2" t="n">
        <f aca="false">SUMIFS($F$2:$F$548,$C$2:$C$548,C122,$E$2:$E$548,E122)</f>
        <v>2497</v>
      </c>
      <c r="N122" s="2" t="str">
        <f aca="false">IF(AND(M122&gt;5000,L122&lt;&gt;"East"),"High-Value Merchant Day","No")</f>
        <v>No</v>
      </c>
    </row>
    <row r="123" customFormat="false" ht="15" hidden="false" customHeight="false" outlineLevel="0" collapsed="false">
      <c r="A123" s="2" t="s">
        <v>201</v>
      </c>
      <c r="B123" s="2" t="n">
        <v>150</v>
      </c>
      <c r="C123" s="2" t="n">
        <v>33</v>
      </c>
      <c r="D123" s="9" t="n">
        <v>46043.1881944445</v>
      </c>
      <c r="E123" s="10" t="n">
        <f aca="false">INT(D123)</f>
        <v>46043</v>
      </c>
      <c r="F123" s="2" t="n">
        <v>2999</v>
      </c>
      <c r="G123" s="2" t="s">
        <v>56</v>
      </c>
      <c r="H123" s="2" t="s">
        <v>78</v>
      </c>
      <c r="I123" s="2" t="n">
        <v>90</v>
      </c>
      <c r="J123" s="2" t="str">
        <f aca="false">IFERROR(VLOOKUP($C123,merchants!$A$2:$D$41,2,FALSE()),"Merchant not found")</f>
        <v>Merchant_033</v>
      </c>
      <c r="K123" s="2" t="str">
        <f aca="false">IFERROR(VLOOKUP($C123,merchants!$A$2:$D$41,3,FALSE()),"Merchant not found")</f>
        <v>bill_payment</v>
      </c>
      <c r="L123" s="2" t="str">
        <f aca="false">IFERROR(VLOOKUP($C123,merchants!$A$2:$D$41,4,FALSE()),"Merchant not found")</f>
        <v>East</v>
      </c>
      <c r="M123" s="2" t="n">
        <f aca="false">SUMIFS($F$2:$F$548,$C$2:$C$548,C123,$E$2:$E$548,E123)</f>
        <v>3298</v>
      </c>
      <c r="N123" s="2" t="str">
        <f aca="false">IF(AND(M123&gt;5000,L123&lt;&gt;"East"),"High-Value Merchant Day","No")</f>
        <v>No</v>
      </c>
    </row>
    <row r="124" customFormat="false" ht="15" hidden="false" customHeight="false" outlineLevel="0" collapsed="false">
      <c r="A124" s="2" t="s">
        <v>202</v>
      </c>
      <c r="B124" s="2" t="n">
        <v>248</v>
      </c>
      <c r="C124" s="2" t="n">
        <v>31</v>
      </c>
      <c r="D124" s="9" t="n">
        <v>46031.5784722222</v>
      </c>
      <c r="E124" s="10" t="n">
        <f aca="false">INT(D124)</f>
        <v>46031</v>
      </c>
      <c r="F124" s="2" t="n">
        <v>1499</v>
      </c>
      <c r="G124" s="2" t="s">
        <v>56</v>
      </c>
      <c r="H124" s="2" t="s">
        <v>90</v>
      </c>
      <c r="I124" s="2" t="n">
        <v>31</v>
      </c>
      <c r="J124" s="2" t="str">
        <f aca="false">IFERROR(VLOOKUP($C124,merchants!$A$2:$D$41,2,FALSE()),"Merchant not found")</f>
        <v>Merchant_031</v>
      </c>
      <c r="K124" s="2" t="str">
        <f aca="false">IFERROR(VLOOKUP($C124,merchants!$A$2:$D$41,3,FALSE()),"Merchant not found")</f>
        <v>bill_payment</v>
      </c>
      <c r="L124" s="2" t="str">
        <f aca="false">IFERROR(VLOOKUP($C124,merchants!$A$2:$D$41,4,FALSE()),"Merchant not found")</f>
        <v>East</v>
      </c>
      <c r="M124" s="2" t="n">
        <f aca="false">SUMIFS($F$2:$F$548,$C$2:$C$548,C124,$E$2:$E$548,E124)</f>
        <v>1499</v>
      </c>
      <c r="N124" s="2" t="str">
        <f aca="false">IF(AND(M124&gt;5000,L124&lt;&gt;"East"),"High-Value Merchant Day","No")</f>
        <v>No</v>
      </c>
    </row>
    <row r="125" customFormat="false" ht="15" hidden="false" customHeight="false" outlineLevel="0" collapsed="false">
      <c r="A125" s="2" t="s">
        <v>203</v>
      </c>
      <c r="B125" s="2" t="n">
        <v>197</v>
      </c>
      <c r="C125" s="2" t="n">
        <v>13</v>
      </c>
      <c r="D125" s="9" t="n">
        <v>46037.7145833333</v>
      </c>
      <c r="E125" s="10" t="n">
        <f aca="false">INT(D125)</f>
        <v>46037</v>
      </c>
      <c r="F125" s="2" t="n">
        <v>49</v>
      </c>
      <c r="G125" s="2" t="s">
        <v>56</v>
      </c>
      <c r="H125" s="2" t="s">
        <v>78</v>
      </c>
      <c r="I125" s="2" t="n">
        <v>76</v>
      </c>
      <c r="J125" s="2" t="str">
        <f aca="false">IFERROR(VLOOKUP($C125,merchants!$A$2:$D$41,2,FALSE()),"Merchant not found")</f>
        <v>Merchant_013</v>
      </c>
      <c r="K125" s="2" t="str">
        <f aca="false">IFERROR(VLOOKUP($C125,merchants!$A$2:$D$41,3,FALSE()),"Merchant not found")</f>
        <v>travel</v>
      </c>
      <c r="L125" s="2" t="str">
        <f aca="false">IFERROR(VLOOKUP($C125,merchants!$A$2:$D$41,4,FALSE()),"Merchant not found")</f>
        <v>East</v>
      </c>
      <c r="M125" s="2" t="n">
        <f aca="false">SUMIFS($F$2:$F$548,$C$2:$C$548,C125,$E$2:$E$548,E125)</f>
        <v>49</v>
      </c>
      <c r="N125" s="2" t="str">
        <f aca="false">IF(AND(M125&gt;5000,L125&lt;&gt;"East"),"High-Value Merchant Day","No")</f>
        <v>No</v>
      </c>
    </row>
    <row r="126" customFormat="false" ht="15" hidden="false" customHeight="false" outlineLevel="0" collapsed="false">
      <c r="A126" s="2" t="s">
        <v>204</v>
      </c>
      <c r="B126" s="2" t="n">
        <v>70</v>
      </c>
      <c r="C126" s="2" t="n">
        <v>5</v>
      </c>
      <c r="D126" s="9" t="n">
        <v>46039.9972222222</v>
      </c>
      <c r="E126" s="10" t="n">
        <f aca="false">INT(D126)</f>
        <v>46039</v>
      </c>
      <c r="F126" s="2" t="n">
        <v>499</v>
      </c>
      <c r="G126" s="2" t="s">
        <v>56</v>
      </c>
      <c r="H126" s="2" t="s">
        <v>78</v>
      </c>
      <c r="I126" s="2" t="n">
        <v>35</v>
      </c>
      <c r="J126" s="2" t="str">
        <f aca="false">IFERROR(VLOOKUP($C126,merchants!$A$2:$D$41,2,FALSE()),"Merchant not found")</f>
        <v>Merchant_005</v>
      </c>
      <c r="K126" s="2" t="str">
        <f aca="false">IFERROR(VLOOKUP($C126,merchants!$A$2:$D$41,3,FALSE()),"Merchant not found")</f>
        <v>recharge</v>
      </c>
      <c r="L126" s="2" t="str">
        <f aca="false">IFERROR(VLOOKUP($C126,merchants!$A$2:$D$41,4,FALSE()),"Merchant not found")</f>
        <v>South</v>
      </c>
      <c r="M126" s="2" t="n">
        <f aca="false">SUMIFS($F$2:$F$548,$C$2:$C$548,C126,$E$2:$E$548,E126)</f>
        <v>499</v>
      </c>
      <c r="N126" s="2" t="str">
        <f aca="false">IF(AND(M126&gt;5000,L126&lt;&gt;"East"),"High-Value Merchant Day","No")</f>
        <v>No</v>
      </c>
    </row>
    <row r="127" customFormat="false" ht="15" hidden="false" customHeight="false" outlineLevel="0" collapsed="false">
      <c r="A127" s="2" t="s">
        <v>205</v>
      </c>
      <c r="B127" s="2" t="n">
        <v>260</v>
      </c>
      <c r="C127" s="2" t="n">
        <v>18</v>
      </c>
      <c r="D127" s="9" t="n">
        <v>46047.55625</v>
      </c>
      <c r="E127" s="10" t="n">
        <f aca="false">INT(D127)</f>
        <v>46047</v>
      </c>
      <c r="F127" s="2" t="n">
        <v>1499</v>
      </c>
      <c r="G127" s="2" t="s">
        <v>56</v>
      </c>
      <c r="H127" s="2" t="s">
        <v>78</v>
      </c>
      <c r="I127" s="2" t="n">
        <v>0</v>
      </c>
      <c r="J127" s="2" t="str">
        <f aca="false">IFERROR(VLOOKUP($C127,merchants!$A$2:$D$41,2,FALSE()),"Merchant not found")</f>
        <v>Merchant_018</v>
      </c>
      <c r="K127" s="2" t="str">
        <f aca="false">IFERROR(VLOOKUP($C127,merchants!$A$2:$D$41,3,FALSE()),"Merchant not found")</f>
        <v>grocery</v>
      </c>
      <c r="L127" s="2" t="str">
        <f aca="false">IFERROR(VLOOKUP($C127,merchants!$A$2:$D$41,4,FALSE()),"Merchant not found")</f>
        <v>West</v>
      </c>
      <c r="M127" s="2" t="n">
        <f aca="false">SUMIFS($F$2:$F$548,$C$2:$C$548,C127,$E$2:$E$548,E127)</f>
        <v>1648</v>
      </c>
      <c r="N127" s="2" t="str">
        <f aca="false">IF(AND(M127&gt;5000,L127&lt;&gt;"East"),"High-Value Merchant Day","No")</f>
        <v>No</v>
      </c>
    </row>
    <row r="128" customFormat="false" ht="15" hidden="false" customHeight="false" outlineLevel="0" collapsed="false">
      <c r="A128" s="2" t="s">
        <v>206</v>
      </c>
      <c r="B128" s="2" t="n">
        <v>301</v>
      </c>
      <c r="C128" s="2" t="n">
        <v>38</v>
      </c>
      <c r="D128" s="9" t="n">
        <v>46032.9715277778</v>
      </c>
      <c r="E128" s="10" t="n">
        <f aca="false">INT(D128)</f>
        <v>46032</v>
      </c>
      <c r="F128" s="2" t="n">
        <v>99</v>
      </c>
      <c r="G128" s="2" t="s">
        <v>56</v>
      </c>
      <c r="H128" s="2" t="s">
        <v>78</v>
      </c>
      <c r="I128" s="2" t="n">
        <v>84</v>
      </c>
      <c r="J128" s="2" t="str">
        <f aca="false">IFERROR(VLOOKUP($C128,merchants!$A$2:$D$41,2,FALSE()),"Merchant not found")</f>
        <v>Merchant_038</v>
      </c>
      <c r="K128" s="2" t="str">
        <f aca="false">IFERROR(VLOOKUP($C128,merchants!$A$2:$D$41,3,FALSE()),"Merchant not found")</f>
        <v>grocery</v>
      </c>
      <c r="L128" s="2" t="str">
        <f aca="false">IFERROR(VLOOKUP($C128,merchants!$A$2:$D$41,4,FALSE()),"Merchant not found")</f>
        <v>East</v>
      </c>
      <c r="M128" s="2" t="n">
        <f aca="false">SUMIFS($F$2:$F$548,$C$2:$C$548,C128,$E$2:$E$548,E128)</f>
        <v>398</v>
      </c>
      <c r="N128" s="2" t="str">
        <f aca="false">IF(AND(M128&gt;5000,L128&lt;&gt;"East"),"High-Value Merchant Day","No")</f>
        <v>No</v>
      </c>
    </row>
    <row r="129" customFormat="false" ht="15" hidden="false" customHeight="false" outlineLevel="0" collapsed="false">
      <c r="A129" s="2" t="s">
        <v>207</v>
      </c>
      <c r="B129" s="2" t="n">
        <v>276</v>
      </c>
      <c r="C129" s="2" t="n">
        <v>31</v>
      </c>
      <c r="D129" s="9" t="n">
        <v>46038.1861111111</v>
      </c>
      <c r="E129" s="10" t="n">
        <f aca="false">INT(D129)</f>
        <v>46038</v>
      </c>
      <c r="F129" s="2" t="n">
        <v>499</v>
      </c>
      <c r="G129" s="2" t="s">
        <v>58</v>
      </c>
      <c r="H129" s="2" t="s">
        <v>78</v>
      </c>
      <c r="I129" s="2" t="n">
        <v>44</v>
      </c>
      <c r="J129" s="2" t="str">
        <f aca="false">IFERROR(VLOOKUP($C129,merchants!$A$2:$D$41,2,FALSE()),"Merchant not found")</f>
        <v>Merchant_031</v>
      </c>
      <c r="K129" s="2" t="str">
        <f aca="false">IFERROR(VLOOKUP($C129,merchants!$A$2:$D$41,3,FALSE()),"Merchant not found")</f>
        <v>bill_payment</v>
      </c>
      <c r="L129" s="2" t="str">
        <f aca="false">IFERROR(VLOOKUP($C129,merchants!$A$2:$D$41,4,FALSE()),"Merchant not found")</f>
        <v>East</v>
      </c>
      <c r="M129" s="2" t="n">
        <f aca="false">SUMIFS($F$2:$F$548,$C$2:$C$548,C129,$E$2:$E$548,E129)</f>
        <v>499</v>
      </c>
      <c r="N129" s="2" t="str">
        <f aca="false">IF(AND(M129&gt;5000,L129&lt;&gt;"East"),"High-Value Merchant Day","No")</f>
        <v>No</v>
      </c>
    </row>
    <row r="130" customFormat="false" ht="15" hidden="false" customHeight="false" outlineLevel="0" collapsed="false">
      <c r="A130" s="2" t="s">
        <v>208</v>
      </c>
      <c r="B130" s="2" t="n">
        <v>279</v>
      </c>
      <c r="C130" s="2" t="n">
        <v>25</v>
      </c>
      <c r="D130" s="9" t="n">
        <v>46033.7416666667</v>
      </c>
      <c r="E130" s="10" t="n">
        <f aca="false">INT(D130)</f>
        <v>46033</v>
      </c>
      <c r="F130" s="2" t="n">
        <v>799</v>
      </c>
      <c r="G130" s="2" t="s">
        <v>56</v>
      </c>
      <c r="H130" s="2" t="s">
        <v>78</v>
      </c>
      <c r="I130" s="2" t="n">
        <v>58</v>
      </c>
      <c r="J130" s="2" t="str">
        <f aca="false">IFERROR(VLOOKUP($C130,merchants!$A$2:$D$41,2,FALSE()),"Merchant not found")</f>
        <v>Merchant_025</v>
      </c>
      <c r="K130" s="2" t="str">
        <f aca="false">IFERROR(VLOOKUP($C130,merchants!$A$2:$D$41,3,FALSE()),"Merchant not found")</f>
        <v>travel</v>
      </c>
      <c r="L130" s="2" t="str">
        <f aca="false">IFERROR(VLOOKUP($C130,merchants!$A$2:$D$41,4,FALSE()),"Merchant not found")</f>
        <v>South</v>
      </c>
      <c r="M130" s="2" t="n">
        <f aca="false">SUMIFS($F$2:$F$548,$C$2:$C$548,C130,$E$2:$E$548,E130)</f>
        <v>799</v>
      </c>
      <c r="N130" s="2" t="str">
        <f aca="false">IF(AND(M130&gt;5000,L130&lt;&gt;"East"),"High-Value Merchant Day","No")</f>
        <v>No</v>
      </c>
    </row>
    <row r="131" customFormat="false" ht="15" hidden="false" customHeight="false" outlineLevel="0" collapsed="false">
      <c r="A131" s="2" t="s">
        <v>209</v>
      </c>
      <c r="B131" s="2" t="n">
        <v>97</v>
      </c>
      <c r="C131" s="2" t="n">
        <v>16</v>
      </c>
      <c r="D131" s="9" t="n">
        <v>46052.4548611111</v>
      </c>
      <c r="E131" s="10" t="n">
        <f aca="false">INT(D131)</f>
        <v>46052</v>
      </c>
      <c r="F131" s="2" t="n">
        <v>799</v>
      </c>
      <c r="G131" s="2" t="s">
        <v>58</v>
      </c>
      <c r="H131" s="2" t="s">
        <v>78</v>
      </c>
      <c r="I131" s="2" t="n">
        <v>73</v>
      </c>
      <c r="J131" s="2" t="str">
        <f aca="false">IFERROR(VLOOKUP($C131,merchants!$A$2:$D$41,2,FALSE()),"Merchant not found")</f>
        <v>Merchant_016</v>
      </c>
      <c r="K131" s="2" t="str">
        <f aca="false">IFERROR(VLOOKUP($C131,merchants!$A$2:$D$41,3,FALSE()),"Merchant not found")</f>
        <v>bill_payment</v>
      </c>
      <c r="L131" s="2" t="str">
        <f aca="false">IFERROR(VLOOKUP($C131,merchants!$A$2:$D$41,4,FALSE()),"Merchant not found")</f>
        <v>West</v>
      </c>
      <c r="M131" s="2" t="n">
        <f aca="false">SUMIFS($F$2:$F$548,$C$2:$C$548,C131,$E$2:$E$548,E131)</f>
        <v>898</v>
      </c>
      <c r="N131" s="2" t="str">
        <f aca="false">IF(AND(M131&gt;5000,L131&lt;&gt;"East"),"High-Value Merchant Day","No")</f>
        <v>No</v>
      </c>
    </row>
    <row r="132" customFormat="false" ht="15" hidden="false" customHeight="false" outlineLevel="0" collapsed="false">
      <c r="A132" s="2" t="s">
        <v>210</v>
      </c>
      <c r="B132" s="2" t="n">
        <v>211</v>
      </c>
      <c r="C132" s="2" t="n">
        <v>3</v>
      </c>
      <c r="D132" s="9" t="n">
        <v>46035.3291666667</v>
      </c>
      <c r="E132" s="10" t="n">
        <f aca="false">INT(D132)</f>
        <v>46035</v>
      </c>
      <c r="F132" s="2" t="n">
        <v>149</v>
      </c>
      <c r="G132" s="2" t="s">
        <v>56</v>
      </c>
      <c r="H132" s="2" t="s">
        <v>103</v>
      </c>
      <c r="I132" s="2" t="n">
        <v>40</v>
      </c>
      <c r="J132" s="2" t="str">
        <f aca="false">IFERROR(VLOOKUP($C132,merchants!$A$2:$D$41,2,FALSE()),"Merchant not found")</f>
        <v>Merchant_003</v>
      </c>
      <c r="K132" s="2" t="str">
        <f aca="false">IFERROR(VLOOKUP($C132,merchants!$A$2:$D$41,3,FALSE()),"Merchant not found")</f>
        <v>grocery</v>
      </c>
      <c r="L132" s="2" t="str">
        <f aca="false">IFERROR(VLOOKUP($C132,merchants!$A$2:$D$41,4,FALSE()),"Merchant not found")</f>
        <v>East</v>
      </c>
      <c r="M132" s="2" t="n">
        <f aca="false">SUMIFS($F$2:$F$548,$C$2:$C$548,C132,$E$2:$E$548,E132)</f>
        <v>198</v>
      </c>
      <c r="N132" s="2" t="str">
        <f aca="false">IF(AND(M132&gt;5000,L132&lt;&gt;"East"),"High-Value Merchant Day","No")</f>
        <v>No</v>
      </c>
    </row>
    <row r="133" customFormat="false" ht="15" hidden="false" customHeight="false" outlineLevel="0" collapsed="false">
      <c r="A133" s="2" t="s">
        <v>211</v>
      </c>
      <c r="B133" s="2" t="n">
        <v>196</v>
      </c>
      <c r="C133" s="2" t="n">
        <v>25</v>
      </c>
      <c r="D133" s="9" t="n">
        <v>46046.65625</v>
      </c>
      <c r="E133" s="10" t="n">
        <f aca="false">INT(D133)</f>
        <v>46046</v>
      </c>
      <c r="F133" s="2" t="n">
        <v>149</v>
      </c>
      <c r="G133" s="2" t="s">
        <v>59</v>
      </c>
      <c r="H133" s="2" t="s">
        <v>78</v>
      </c>
      <c r="I133" s="2" t="n">
        <v>84</v>
      </c>
      <c r="J133" s="2" t="str">
        <f aca="false">IFERROR(VLOOKUP($C133,merchants!$A$2:$D$41,2,FALSE()),"Merchant not found")</f>
        <v>Merchant_025</v>
      </c>
      <c r="K133" s="2" t="str">
        <f aca="false">IFERROR(VLOOKUP($C133,merchants!$A$2:$D$41,3,FALSE()),"Merchant not found")</f>
        <v>travel</v>
      </c>
      <c r="L133" s="2" t="str">
        <f aca="false">IFERROR(VLOOKUP($C133,merchants!$A$2:$D$41,4,FALSE()),"Merchant not found")</f>
        <v>South</v>
      </c>
      <c r="M133" s="2" t="n">
        <f aca="false">SUMIFS($F$2:$F$548,$C$2:$C$548,C133,$E$2:$E$548,E133)</f>
        <v>497</v>
      </c>
      <c r="N133" s="2" t="str">
        <f aca="false">IF(AND(M133&gt;5000,L133&lt;&gt;"East"),"High-Value Merchant Day","No")</f>
        <v>No</v>
      </c>
    </row>
    <row r="134" customFormat="false" ht="15" hidden="false" customHeight="false" outlineLevel="0" collapsed="false">
      <c r="A134" s="2" t="s">
        <v>212</v>
      </c>
      <c r="B134" s="2" t="n">
        <v>254</v>
      </c>
      <c r="C134" s="2" t="n">
        <v>3</v>
      </c>
      <c r="D134" s="9" t="n">
        <v>46048.8395833333</v>
      </c>
      <c r="E134" s="10" t="n">
        <f aca="false">INT(D134)</f>
        <v>46048</v>
      </c>
      <c r="F134" s="2" t="n">
        <v>149</v>
      </c>
      <c r="G134" s="2" t="s">
        <v>58</v>
      </c>
      <c r="H134" s="2" t="s">
        <v>78</v>
      </c>
      <c r="I134" s="2" t="n">
        <v>16</v>
      </c>
      <c r="J134" s="2" t="str">
        <f aca="false">IFERROR(VLOOKUP($C134,merchants!$A$2:$D$41,2,FALSE()),"Merchant not found")</f>
        <v>Merchant_003</v>
      </c>
      <c r="K134" s="2" t="str">
        <f aca="false">IFERROR(VLOOKUP($C134,merchants!$A$2:$D$41,3,FALSE()),"Merchant not found")</f>
        <v>grocery</v>
      </c>
      <c r="L134" s="2" t="str">
        <f aca="false">IFERROR(VLOOKUP($C134,merchants!$A$2:$D$41,4,FALSE()),"Merchant not found")</f>
        <v>East</v>
      </c>
      <c r="M134" s="2" t="n">
        <f aca="false">SUMIFS($F$2:$F$548,$C$2:$C$548,C134,$E$2:$E$548,E134)</f>
        <v>149</v>
      </c>
      <c r="N134" s="2" t="str">
        <f aca="false">IF(AND(M134&gt;5000,L134&lt;&gt;"East"),"High-Value Merchant Day","No")</f>
        <v>No</v>
      </c>
    </row>
    <row r="135" customFormat="false" ht="15" hidden="false" customHeight="false" outlineLevel="0" collapsed="false">
      <c r="A135" s="2" t="s">
        <v>213</v>
      </c>
      <c r="B135" s="2" t="n">
        <v>52</v>
      </c>
      <c r="C135" s="2" t="n">
        <v>29</v>
      </c>
      <c r="D135" s="9" t="n">
        <v>46039.7645833333</v>
      </c>
      <c r="E135" s="10" t="n">
        <f aca="false">INT(D135)</f>
        <v>46039</v>
      </c>
      <c r="F135" s="2" t="n">
        <v>49</v>
      </c>
      <c r="G135" s="2" t="s">
        <v>59</v>
      </c>
      <c r="H135" s="2" t="s">
        <v>78</v>
      </c>
      <c r="I135" s="2" t="n">
        <v>12</v>
      </c>
      <c r="J135" s="2" t="str">
        <f aca="false">IFERROR(VLOOKUP($C135,merchants!$A$2:$D$41,2,FALSE()),"Merchant not found")</f>
        <v>Merchant_029</v>
      </c>
      <c r="K135" s="2" t="str">
        <f aca="false">IFERROR(VLOOKUP($C135,merchants!$A$2:$D$41,3,FALSE()),"Merchant not found")</f>
        <v>ecommerce</v>
      </c>
      <c r="L135" s="2" t="str">
        <f aca="false">IFERROR(VLOOKUP($C135,merchants!$A$2:$D$41,4,FALSE()),"Merchant not found")</f>
        <v>North</v>
      </c>
      <c r="M135" s="2" t="n">
        <f aca="false">SUMIFS($F$2:$F$548,$C$2:$C$548,C135,$E$2:$E$548,E135)</f>
        <v>49</v>
      </c>
      <c r="N135" s="2" t="str">
        <f aca="false">IF(AND(M135&gt;5000,L135&lt;&gt;"East"),"High-Value Merchant Day","No")</f>
        <v>No</v>
      </c>
    </row>
    <row r="136" customFormat="false" ht="15" hidden="false" customHeight="false" outlineLevel="0" collapsed="false">
      <c r="A136" s="2" t="s">
        <v>214</v>
      </c>
      <c r="B136" s="2" t="n">
        <v>74</v>
      </c>
      <c r="C136" s="2" t="n">
        <v>27</v>
      </c>
      <c r="D136" s="9" t="n">
        <v>46039.5833333333</v>
      </c>
      <c r="E136" s="10" t="n">
        <f aca="false">INT(D136)</f>
        <v>46039</v>
      </c>
      <c r="F136" s="2" t="n">
        <v>799</v>
      </c>
      <c r="G136" s="2" t="s">
        <v>56</v>
      </c>
      <c r="H136" s="2" t="s">
        <v>78</v>
      </c>
      <c r="I136" s="2" t="n">
        <v>83</v>
      </c>
      <c r="J136" s="2" t="str">
        <f aca="false">IFERROR(VLOOKUP($C136,merchants!$A$2:$D$41,2,FALSE()),"Merchant not found")</f>
        <v>Merchant_027</v>
      </c>
      <c r="K136" s="2" t="str">
        <f aca="false">IFERROR(VLOOKUP($C136,merchants!$A$2:$D$41,3,FALSE()),"Merchant not found")</f>
        <v>ecommerce</v>
      </c>
      <c r="L136" s="2" t="str">
        <f aca="false">IFERROR(VLOOKUP($C136,merchants!$A$2:$D$41,4,FALSE()),"Merchant not found")</f>
        <v>North</v>
      </c>
      <c r="M136" s="2" t="n">
        <f aca="false">SUMIFS($F$2:$F$548,$C$2:$C$548,C136,$E$2:$E$548,E136)</f>
        <v>1597</v>
      </c>
      <c r="N136" s="2" t="str">
        <f aca="false">IF(AND(M136&gt;5000,L136&lt;&gt;"East"),"High-Value Merchant Day","No")</f>
        <v>No</v>
      </c>
    </row>
    <row r="137" customFormat="false" ht="15" hidden="false" customHeight="false" outlineLevel="0" collapsed="false">
      <c r="A137" s="2" t="s">
        <v>215</v>
      </c>
      <c r="B137" s="2" t="n">
        <v>136</v>
      </c>
      <c r="C137" s="2" t="n">
        <v>22</v>
      </c>
      <c r="D137" s="9" t="n">
        <v>46027.1041666667</v>
      </c>
      <c r="E137" s="10" t="n">
        <f aca="false">INT(D137)</f>
        <v>46027</v>
      </c>
      <c r="F137" s="2" t="n">
        <v>149</v>
      </c>
      <c r="G137" s="2" t="s">
        <v>56</v>
      </c>
      <c r="H137" s="2" t="s">
        <v>78</v>
      </c>
      <c r="I137" s="2" t="n">
        <v>79</v>
      </c>
      <c r="J137" s="2" t="str">
        <f aca="false">IFERROR(VLOOKUP($C137,merchants!$A$2:$D$41,2,FALSE()),"Merchant not found")</f>
        <v>Merchant_022</v>
      </c>
      <c r="K137" s="2" t="str">
        <f aca="false">IFERROR(VLOOKUP($C137,merchants!$A$2:$D$41,3,FALSE()),"Merchant not found")</f>
        <v>travel</v>
      </c>
      <c r="L137" s="2" t="str">
        <f aca="false">IFERROR(VLOOKUP($C137,merchants!$A$2:$D$41,4,FALSE()),"Merchant not found")</f>
        <v>South</v>
      </c>
      <c r="M137" s="2" t="n">
        <f aca="false">SUMIFS($F$2:$F$548,$C$2:$C$548,C137,$E$2:$E$548,E137)</f>
        <v>448</v>
      </c>
      <c r="N137" s="2" t="str">
        <f aca="false">IF(AND(M137&gt;5000,L137&lt;&gt;"East"),"High-Value Merchant Day","No")</f>
        <v>No</v>
      </c>
    </row>
    <row r="138" customFormat="false" ht="15" hidden="false" customHeight="false" outlineLevel="0" collapsed="false">
      <c r="A138" s="2" t="s">
        <v>216</v>
      </c>
      <c r="B138" s="2" t="n">
        <v>42</v>
      </c>
      <c r="C138" s="2" t="n">
        <v>22</v>
      </c>
      <c r="D138" s="9" t="n">
        <v>46045.5284722222</v>
      </c>
      <c r="E138" s="10" t="n">
        <f aca="false">INT(D138)</f>
        <v>46045</v>
      </c>
      <c r="F138" s="2" t="n">
        <v>49</v>
      </c>
      <c r="G138" s="2" t="s">
        <v>56</v>
      </c>
      <c r="H138" s="2" t="s">
        <v>78</v>
      </c>
      <c r="I138" s="2" t="n">
        <v>86</v>
      </c>
      <c r="J138" s="2" t="str">
        <f aca="false">IFERROR(VLOOKUP($C138,merchants!$A$2:$D$41,2,FALSE()),"Merchant not found")</f>
        <v>Merchant_022</v>
      </c>
      <c r="K138" s="2" t="str">
        <f aca="false">IFERROR(VLOOKUP($C138,merchants!$A$2:$D$41,3,FALSE()),"Merchant not found")</f>
        <v>travel</v>
      </c>
      <c r="L138" s="2" t="str">
        <f aca="false">IFERROR(VLOOKUP($C138,merchants!$A$2:$D$41,4,FALSE()),"Merchant not found")</f>
        <v>South</v>
      </c>
      <c r="M138" s="2" t="n">
        <f aca="false">SUMIFS($F$2:$F$548,$C$2:$C$548,C138,$E$2:$E$548,E138)</f>
        <v>49</v>
      </c>
      <c r="N138" s="2" t="str">
        <f aca="false">IF(AND(M138&gt;5000,L138&lt;&gt;"East"),"High-Value Merchant Day","No")</f>
        <v>No</v>
      </c>
    </row>
    <row r="139" customFormat="false" ht="15" hidden="false" customHeight="false" outlineLevel="0" collapsed="false">
      <c r="A139" s="2" t="s">
        <v>217</v>
      </c>
      <c r="B139" s="2" t="n">
        <v>163</v>
      </c>
      <c r="C139" s="2" t="n">
        <v>32</v>
      </c>
      <c r="D139" s="9" t="n">
        <v>46050.725</v>
      </c>
      <c r="E139" s="10" t="n">
        <f aca="false">INT(D139)</f>
        <v>46050</v>
      </c>
      <c r="F139" s="2" t="n">
        <v>2999</v>
      </c>
      <c r="G139" s="2" t="s">
        <v>57</v>
      </c>
      <c r="H139" s="2" t="s">
        <v>90</v>
      </c>
      <c r="I139" s="2" t="n">
        <v>69</v>
      </c>
      <c r="J139" s="2" t="str">
        <f aca="false">IFERROR(VLOOKUP($C139,merchants!$A$2:$D$41,2,FALSE()),"Merchant not found")</f>
        <v>Merchant_032</v>
      </c>
      <c r="K139" s="2" t="str">
        <f aca="false">IFERROR(VLOOKUP($C139,merchants!$A$2:$D$41,3,FALSE()),"Merchant not found")</f>
        <v>food_delivery</v>
      </c>
      <c r="L139" s="2" t="str">
        <f aca="false">IFERROR(VLOOKUP($C139,merchants!$A$2:$D$41,4,FALSE()),"Merchant not found")</f>
        <v>West</v>
      </c>
      <c r="M139" s="2" t="n">
        <f aca="false">SUMIFS($F$2:$F$548,$C$2:$C$548,C139,$E$2:$E$548,E139)</f>
        <v>2999</v>
      </c>
      <c r="N139" s="2" t="str">
        <f aca="false">IF(AND(M139&gt;5000,L139&lt;&gt;"East"),"High-Value Merchant Day","No")</f>
        <v>No</v>
      </c>
    </row>
    <row r="140" customFormat="false" ht="15" hidden="false" customHeight="false" outlineLevel="0" collapsed="false">
      <c r="A140" s="2" t="s">
        <v>218</v>
      </c>
      <c r="B140" s="2" t="n">
        <v>121</v>
      </c>
      <c r="C140" s="2" t="n">
        <v>19</v>
      </c>
      <c r="D140" s="9" t="n">
        <v>46024.7944444444</v>
      </c>
      <c r="E140" s="10" t="n">
        <f aca="false">INT(D140)</f>
        <v>46024</v>
      </c>
      <c r="F140" s="2" t="n">
        <v>149</v>
      </c>
      <c r="G140" s="2" t="s">
        <v>56</v>
      </c>
      <c r="H140" s="2" t="s">
        <v>78</v>
      </c>
      <c r="I140" s="2" t="n">
        <v>29</v>
      </c>
      <c r="J140" s="2" t="str">
        <f aca="false">IFERROR(VLOOKUP($C140,merchants!$A$2:$D$41,2,FALSE()),"Merchant not found")</f>
        <v>Merchant_019</v>
      </c>
      <c r="K140" s="2" t="str">
        <f aca="false">IFERROR(VLOOKUP($C140,merchants!$A$2:$D$41,3,FALSE()),"Merchant not found")</f>
        <v>grocery</v>
      </c>
      <c r="L140" s="2" t="str">
        <f aca="false">IFERROR(VLOOKUP($C140,merchants!$A$2:$D$41,4,FALSE()),"Merchant not found")</f>
        <v>North</v>
      </c>
      <c r="M140" s="2" t="n">
        <f aca="false">SUMIFS($F$2:$F$548,$C$2:$C$548,C140,$E$2:$E$548,E140)</f>
        <v>149</v>
      </c>
      <c r="N140" s="2" t="str">
        <f aca="false">IF(AND(M140&gt;5000,L140&lt;&gt;"East"),"High-Value Merchant Day","No")</f>
        <v>No</v>
      </c>
    </row>
    <row r="141" customFormat="false" ht="15" hidden="false" customHeight="false" outlineLevel="0" collapsed="false">
      <c r="A141" s="2" t="s">
        <v>219</v>
      </c>
      <c r="B141" s="2" t="n">
        <v>51</v>
      </c>
      <c r="C141" s="2" t="n">
        <v>7</v>
      </c>
      <c r="D141" s="9" t="n">
        <v>46046.1020833333</v>
      </c>
      <c r="E141" s="10" t="n">
        <f aca="false">INT(D141)</f>
        <v>46046</v>
      </c>
      <c r="F141" s="2" t="n">
        <v>499</v>
      </c>
      <c r="G141" s="2" t="s">
        <v>58</v>
      </c>
      <c r="H141" s="2" t="s">
        <v>78</v>
      </c>
      <c r="I141" s="2" t="n">
        <v>56</v>
      </c>
      <c r="J141" s="2" t="str">
        <f aca="false">IFERROR(VLOOKUP($C141,merchants!$A$2:$D$41,2,FALSE()),"Merchant not found")</f>
        <v>Merchant_007</v>
      </c>
      <c r="K141" s="2" t="str">
        <f aca="false">IFERROR(VLOOKUP($C141,merchants!$A$2:$D$41,3,FALSE()),"Merchant not found")</f>
        <v>food_delivery</v>
      </c>
      <c r="L141" s="2" t="str">
        <f aca="false">IFERROR(VLOOKUP($C141,merchants!$A$2:$D$41,4,FALSE()),"Merchant not found")</f>
        <v>East</v>
      </c>
      <c r="M141" s="2" t="n">
        <f aca="false">SUMIFS($F$2:$F$548,$C$2:$C$548,C141,$E$2:$E$548,E141)</f>
        <v>1298</v>
      </c>
      <c r="N141" s="2" t="str">
        <f aca="false">IF(AND(M141&gt;5000,L141&lt;&gt;"East"),"High-Value Merchant Day","No")</f>
        <v>No</v>
      </c>
    </row>
    <row r="142" customFormat="false" ht="15" hidden="false" customHeight="false" outlineLevel="0" collapsed="false">
      <c r="A142" s="2" t="s">
        <v>220</v>
      </c>
      <c r="B142" s="2" t="n">
        <v>15</v>
      </c>
      <c r="C142" s="2" t="n">
        <v>3</v>
      </c>
      <c r="D142" s="9" t="n">
        <v>46028.9298611111</v>
      </c>
      <c r="E142" s="10" t="n">
        <f aca="false">INT(D142)</f>
        <v>46028</v>
      </c>
      <c r="F142" s="2" t="n">
        <v>799</v>
      </c>
      <c r="G142" s="2" t="s">
        <v>56</v>
      </c>
      <c r="H142" s="2" t="s">
        <v>78</v>
      </c>
      <c r="I142" s="2" t="n">
        <v>41</v>
      </c>
      <c r="J142" s="2" t="str">
        <f aca="false">IFERROR(VLOOKUP($C142,merchants!$A$2:$D$41,2,FALSE()),"Merchant not found")</f>
        <v>Merchant_003</v>
      </c>
      <c r="K142" s="2" t="str">
        <f aca="false">IFERROR(VLOOKUP($C142,merchants!$A$2:$D$41,3,FALSE()),"Merchant not found")</f>
        <v>grocery</v>
      </c>
      <c r="L142" s="2" t="str">
        <f aca="false">IFERROR(VLOOKUP($C142,merchants!$A$2:$D$41,4,FALSE()),"Merchant not found")</f>
        <v>East</v>
      </c>
      <c r="M142" s="2" t="n">
        <f aca="false">SUMIFS($F$2:$F$548,$C$2:$C$548,C142,$E$2:$E$548,E142)</f>
        <v>898</v>
      </c>
      <c r="N142" s="2" t="str">
        <f aca="false">IF(AND(M142&gt;5000,L142&lt;&gt;"East"),"High-Value Merchant Day","No")</f>
        <v>No</v>
      </c>
    </row>
    <row r="143" customFormat="false" ht="15" hidden="false" customHeight="false" outlineLevel="0" collapsed="false">
      <c r="A143" s="2" t="s">
        <v>221</v>
      </c>
      <c r="B143" s="2" t="n">
        <v>184</v>
      </c>
      <c r="C143" s="2" t="n">
        <v>24</v>
      </c>
      <c r="D143" s="9" t="n">
        <v>46048.0541666667</v>
      </c>
      <c r="E143" s="10" t="n">
        <f aca="false">INT(D143)</f>
        <v>46048</v>
      </c>
      <c r="F143" s="2" t="n">
        <v>49</v>
      </c>
      <c r="G143" s="2" t="s">
        <v>56</v>
      </c>
      <c r="H143" s="2" t="s">
        <v>78</v>
      </c>
      <c r="I143" s="2" t="n">
        <v>55</v>
      </c>
      <c r="J143" s="2" t="str">
        <f aca="false">IFERROR(VLOOKUP($C143,merchants!$A$2:$D$41,2,FALSE()),"Merchant not found")</f>
        <v>Merchant_024</v>
      </c>
      <c r="K143" s="2" t="str">
        <f aca="false">IFERROR(VLOOKUP($C143,merchants!$A$2:$D$41,3,FALSE()),"Merchant not found")</f>
        <v>grocery</v>
      </c>
      <c r="L143" s="2" t="str">
        <f aca="false">IFERROR(VLOOKUP($C143,merchants!$A$2:$D$41,4,FALSE()),"Merchant not found")</f>
        <v>North</v>
      </c>
      <c r="M143" s="2" t="n">
        <f aca="false">SUMIFS($F$2:$F$548,$C$2:$C$548,C143,$E$2:$E$548,E143)</f>
        <v>348</v>
      </c>
      <c r="N143" s="2" t="str">
        <f aca="false">IF(AND(M143&gt;5000,L143&lt;&gt;"East"),"High-Value Merchant Day","No")</f>
        <v>No</v>
      </c>
    </row>
    <row r="144" customFormat="false" ht="15" hidden="false" customHeight="false" outlineLevel="0" collapsed="false">
      <c r="A144" s="2" t="s">
        <v>222</v>
      </c>
      <c r="B144" s="2" t="n">
        <v>211</v>
      </c>
      <c r="C144" s="2" t="n">
        <v>37</v>
      </c>
      <c r="D144" s="9" t="n">
        <v>46027.3145833333</v>
      </c>
      <c r="E144" s="10" t="n">
        <f aca="false">INT(D144)</f>
        <v>46027</v>
      </c>
      <c r="F144" s="2" t="n">
        <v>1499</v>
      </c>
      <c r="G144" s="2" t="s">
        <v>56</v>
      </c>
      <c r="H144" s="2" t="s">
        <v>78</v>
      </c>
      <c r="I144" s="2" t="n">
        <v>87</v>
      </c>
      <c r="J144" s="2" t="str">
        <f aca="false">IFERROR(VLOOKUP($C144,merchants!$A$2:$D$41,2,FALSE()),"Merchant not found")</f>
        <v>Merchant_037</v>
      </c>
      <c r="K144" s="2" t="str">
        <f aca="false">IFERROR(VLOOKUP($C144,merchants!$A$2:$D$41,3,FALSE()),"Merchant not found")</f>
        <v>entertainment</v>
      </c>
      <c r="L144" s="2" t="str">
        <f aca="false">IFERROR(VLOOKUP($C144,merchants!$A$2:$D$41,4,FALSE()),"Merchant not found")</f>
        <v>South</v>
      </c>
      <c r="M144" s="2" t="n">
        <f aca="false">SUMIFS($F$2:$F$548,$C$2:$C$548,C144,$E$2:$E$548,E144)</f>
        <v>1499</v>
      </c>
      <c r="N144" s="2" t="str">
        <f aca="false">IF(AND(M144&gt;5000,L144&lt;&gt;"East"),"High-Value Merchant Day","No")</f>
        <v>No</v>
      </c>
    </row>
    <row r="145" customFormat="false" ht="15" hidden="false" customHeight="false" outlineLevel="0" collapsed="false">
      <c r="A145" s="2" t="s">
        <v>223</v>
      </c>
      <c r="B145" s="2" t="n">
        <v>90</v>
      </c>
      <c r="C145" s="2" t="n">
        <v>6</v>
      </c>
      <c r="D145" s="9" t="n">
        <v>46048.2152777778</v>
      </c>
      <c r="E145" s="10" t="n">
        <f aca="false">INT(D145)</f>
        <v>46048</v>
      </c>
      <c r="F145" s="2" t="n">
        <v>49</v>
      </c>
      <c r="G145" s="2" t="s">
        <v>58</v>
      </c>
      <c r="H145" s="2" t="s">
        <v>78</v>
      </c>
      <c r="I145" s="2" t="n">
        <v>78</v>
      </c>
      <c r="J145" s="2" t="str">
        <f aca="false">IFERROR(VLOOKUP($C145,merchants!$A$2:$D$41,2,FALSE()),"Merchant not found")</f>
        <v>Merchant_006</v>
      </c>
      <c r="K145" s="2" t="str">
        <f aca="false">IFERROR(VLOOKUP($C145,merchants!$A$2:$D$41,3,FALSE()),"Merchant not found")</f>
        <v>food_delivery</v>
      </c>
      <c r="L145" s="2" t="str">
        <f aca="false">IFERROR(VLOOKUP($C145,merchants!$A$2:$D$41,4,FALSE()),"Merchant not found")</f>
        <v>South</v>
      </c>
      <c r="M145" s="2" t="n">
        <f aca="false">SUMIFS($F$2:$F$548,$C$2:$C$548,C145,$E$2:$E$548,E145)</f>
        <v>897</v>
      </c>
      <c r="N145" s="2" t="str">
        <f aca="false">IF(AND(M145&gt;5000,L145&lt;&gt;"East"),"High-Value Merchant Day","No")</f>
        <v>No</v>
      </c>
    </row>
    <row r="146" customFormat="false" ht="15" hidden="false" customHeight="false" outlineLevel="0" collapsed="false">
      <c r="A146" s="2" t="s">
        <v>224</v>
      </c>
      <c r="B146" s="2" t="n">
        <v>350</v>
      </c>
      <c r="C146" s="2" t="n">
        <v>16</v>
      </c>
      <c r="D146" s="9" t="n">
        <v>46050.5270833333</v>
      </c>
      <c r="E146" s="10" t="n">
        <f aca="false">INT(D146)</f>
        <v>46050</v>
      </c>
      <c r="F146" s="2" t="n">
        <v>49</v>
      </c>
      <c r="G146" s="2" t="s">
        <v>56</v>
      </c>
      <c r="H146" s="2" t="s">
        <v>78</v>
      </c>
      <c r="I146" s="2" t="n">
        <v>63</v>
      </c>
      <c r="J146" s="2" t="str">
        <f aca="false">IFERROR(VLOOKUP($C146,merchants!$A$2:$D$41,2,FALSE()),"Merchant not found")</f>
        <v>Merchant_016</v>
      </c>
      <c r="K146" s="2" t="str">
        <f aca="false">IFERROR(VLOOKUP($C146,merchants!$A$2:$D$41,3,FALSE()),"Merchant not found")</f>
        <v>bill_payment</v>
      </c>
      <c r="L146" s="2" t="str">
        <f aca="false">IFERROR(VLOOKUP($C146,merchants!$A$2:$D$41,4,FALSE()),"Merchant not found")</f>
        <v>West</v>
      </c>
      <c r="M146" s="2" t="n">
        <f aca="false">SUMIFS($F$2:$F$548,$C$2:$C$548,C146,$E$2:$E$548,E146)</f>
        <v>49</v>
      </c>
      <c r="N146" s="2" t="str">
        <f aca="false">IF(AND(M146&gt;5000,L146&lt;&gt;"East"),"High-Value Merchant Day","No")</f>
        <v>No</v>
      </c>
    </row>
    <row r="147" customFormat="false" ht="15" hidden="false" customHeight="false" outlineLevel="0" collapsed="false">
      <c r="A147" s="2" t="s">
        <v>225</v>
      </c>
      <c r="B147" s="2" t="n">
        <v>119</v>
      </c>
      <c r="C147" s="2" t="n">
        <v>30</v>
      </c>
      <c r="D147" s="9" t="n">
        <v>46052.75625</v>
      </c>
      <c r="E147" s="10" t="n">
        <f aca="false">INT(D147)</f>
        <v>46052</v>
      </c>
      <c r="F147" s="2" t="n">
        <v>49</v>
      </c>
      <c r="G147" s="2" t="s">
        <v>58</v>
      </c>
      <c r="H147" s="2" t="s">
        <v>78</v>
      </c>
      <c r="I147" s="2" t="n">
        <v>81</v>
      </c>
      <c r="J147" s="2" t="str">
        <f aca="false">IFERROR(VLOOKUP($C147,merchants!$A$2:$D$41,2,FALSE()),"Merchant not found")</f>
        <v>Merchant_030</v>
      </c>
      <c r="K147" s="2" t="str">
        <f aca="false">IFERROR(VLOOKUP($C147,merchants!$A$2:$D$41,3,FALSE()),"Merchant not found")</f>
        <v>travel</v>
      </c>
      <c r="L147" s="2" t="str">
        <f aca="false">IFERROR(VLOOKUP($C147,merchants!$A$2:$D$41,4,FALSE()),"Merchant not found")</f>
        <v>West</v>
      </c>
      <c r="M147" s="2" t="n">
        <f aca="false">SUMIFS($F$2:$F$548,$C$2:$C$548,C147,$E$2:$E$548,E147)</f>
        <v>49</v>
      </c>
      <c r="N147" s="2" t="str">
        <f aca="false">IF(AND(M147&gt;5000,L147&lt;&gt;"East"),"High-Value Merchant Day","No")</f>
        <v>No</v>
      </c>
    </row>
    <row r="148" customFormat="false" ht="15" hidden="false" customHeight="false" outlineLevel="0" collapsed="false">
      <c r="A148" s="2" t="s">
        <v>226</v>
      </c>
      <c r="B148" s="2" t="n">
        <v>342</v>
      </c>
      <c r="C148" s="2" t="n">
        <v>1</v>
      </c>
      <c r="D148" s="9" t="n">
        <v>46031.5944444445</v>
      </c>
      <c r="E148" s="10" t="n">
        <f aca="false">INT(D148)</f>
        <v>46031</v>
      </c>
      <c r="F148" s="2" t="n">
        <v>49</v>
      </c>
      <c r="G148" s="2" t="s">
        <v>56</v>
      </c>
      <c r="H148" s="2" t="s">
        <v>78</v>
      </c>
      <c r="I148" s="2" t="n">
        <v>59</v>
      </c>
      <c r="J148" s="2" t="str">
        <f aca="false">IFERROR(VLOOKUP($C148,merchants!$A$2:$D$41,2,FALSE()),"Merchant not found")</f>
        <v>Merchant_001</v>
      </c>
      <c r="K148" s="2" t="str">
        <f aca="false">IFERROR(VLOOKUP($C148,merchants!$A$2:$D$41,3,FALSE()),"Merchant not found")</f>
        <v>ecommerce</v>
      </c>
      <c r="L148" s="2" t="str">
        <f aca="false">IFERROR(VLOOKUP($C148,merchants!$A$2:$D$41,4,FALSE()),"Merchant not found")</f>
        <v>South</v>
      </c>
      <c r="M148" s="2" t="n">
        <f aca="false">SUMIFS($F$2:$F$548,$C$2:$C$548,C148,$E$2:$E$548,E148)</f>
        <v>5048</v>
      </c>
      <c r="N148" s="2" t="str">
        <f aca="false">IF(AND(M148&gt;5000,L148&lt;&gt;"East"),"High-Value Merchant Day","No")</f>
        <v>High-Value Merchant Day</v>
      </c>
    </row>
    <row r="149" customFormat="false" ht="15" hidden="false" customHeight="false" outlineLevel="0" collapsed="false">
      <c r="A149" s="2" t="s">
        <v>227</v>
      </c>
      <c r="B149" s="2" t="n">
        <v>280</v>
      </c>
      <c r="C149" s="2" t="n">
        <v>11</v>
      </c>
      <c r="D149" s="9" t="n">
        <v>46051.4048611111</v>
      </c>
      <c r="E149" s="10" t="n">
        <f aca="false">INT(D149)</f>
        <v>46051</v>
      </c>
      <c r="F149" s="2" t="n">
        <v>149</v>
      </c>
      <c r="G149" s="2" t="s">
        <v>56</v>
      </c>
      <c r="H149" s="2" t="s">
        <v>103</v>
      </c>
      <c r="I149" s="2" t="n">
        <v>9</v>
      </c>
      <c r="J149" s="2" t="str">
        <f aca="false">IFERROR(VLOOKUP($C149,merchants!$A$2:$D$41,2,FALSE()),"Merchant not found")</f>
        <v>Merchant_011</v>
      </c>
      <c r="K149" s="2" t="str">
        <f aca="false">IFERROR(VLOOKUP($C149,merchants!$A$2:$D$41,3,FALSE()),"Merchant not found")</f>
        <v>ecommerce</v>
      </c>
      <c r="L149" s="2" t="str">
        <f aca="false">IFERROR(VLOOKUP($C149,merchants!$A$2:$D$41,4,FALSE()),"Merchant not found")</f>
        <v>North</v>
      </c>
      <c r="M149" s="2" t="n">
        <f aca="false">SUMIFS($F$2:$F$548,$C$2:$C$548,C149,$E$2:$E$548,E149)</f>
        <v>149</v>
      </c>
      <c r="N149" s="2" t="str">
        <f aca="false">IF(AND(M149&gt;5000,L149&lt;&gt;"East"),"High-Value Merchant Day","No")</f>
        <v>No</v>
      </c>
    </row>
    <row r="150" customFormat="false" ht="15" hidden="false" customHeight="false" outlineLevel="0" collapsed="false">
      <c r="A150" s="2" t="s">
        <v>228</v>
      </c>
      <c r="B150" s="2" t="n">
        <v>154</v>
      </c>
      <c r="C150" s="2" t="n">
        <v>28</v>
      </c>
      <c r="D150" s="9" t="n">
        <v>46037.4840277778</v>
      </c>
      <c r="E150" s="10" t="n">
        <f aca="false">INT(D150)</f>
        <v>46037</v>
      </c>
      <c r="F150" s="2" t="n">
        <v>2999</v>
      </c>
      <c r="G150" s="2" t="s">
        <v>59</v>
      </c>
      <c r="H150" s="2" t="s">
        <v>78</v>
      </c>
      <c r="I150" s="2" t="n">
        <v>88</v>
      </c>
      <c r="J150" s="2" t="str">
        <f aca="false">IFERROR(VLOOKUP($C150,merchants!$A$2:$D$41,2,FALSE()),"Merchant not found")</f>
        <v>Merchant_028</v>
      </c>
      <c r="K150" s="2" t="str">
        <f aca="false">IFERROR(VLOOKUP($C150,merchants!$A$2:$D$41,3,FALSE()),"Merchant not found")</f>
        <v>ecommerce</v>
      </c>
      <c r="L150" s="2" t="str">
        <f aca="false">IFERROR(VLOOKUP($C150,merchants!$A$2:$D$41,4,FALSE()),"Merchant not found")</f>
        <v>South</v>
      </c>
      <c r="M150" s="2" t="n">
        <f aca="false">SUMIFS($F$2:$F$548,$C$2:$C$548,C150,$E$2:$E$548,E150)</f>
        <v>2999</v>
      </c>
      <c r="N150" s="2" t="str">
        <f aca="false">IF(AND(M150&gt;5000,L150&lt;&gt;"East"),"High-Value Merchant Day","No")</f>
        <v>No</v>
      </c>
    </row>
    <row r="151" customFormat="false" ht="15" hidden="false" customHeight="false" outlineLevel="0" collapsed="false">
      <c r="A151" s="2" t="s">
        <v>229</v>
      </c>
      <c r="B151" s="2" t="n">
        <v>155</v>
      </c>
      <c r="C151" s="2" t="n">
        <v>13</v>
      </c>
      <c r="D151" s="9" t="n">
        <v>46031.6208333333</v>
      </c>
      <c r="E151" s="10" t="n">
        <f aca="false">INT(D151)</f>
        <v>46031</v>
      </c>
      <c r="F151" s="2" t="n">
        <v>149</v>
      </c>
      <c r="G151" s="2" t="s">
        <v>56</v>
      </c>
      <c r="H151" s="2" t="s">
        <v>78</v>
      </c>
      <c r="I151" s="2" t="n">
        <v>49</v>
      </c>
      <c r="J151" s="2" t="str">
        <f aca="false">IFERROR(VLOOKUP($C151,merchants!$A$2:$D$41,2,FALSE()),"Merchant not found")</f>
        <v>Merchant_013</v>
      </c>
      <c r="K151" s="2" t="str">
        <f aca="false">IFERROR(VLOOKUP($C151,merchants!$A$2:$D$41,3,FALSE()),"Merchant not found")</f>
        <v>travel</v>
      </c>
      <c r="L151" s="2" t="str">
        <f aca="false">IFERROR(VLOOKUP($C151,merchants!$A$2:$D$41,4,FALSE()),"Merchant not found")</f>
        <v>East</v>
      </c>
      <c r="M151" s="2" t="n">
        <f aca="false">SUMIFS($F$2:$F$548,$C$2:$C$548,C151,$E$2:$E$548,E151)</f>
        <v>198</v>
      </c>
      <c r="N151" s="2" t="str">
        <f aca="false">IF(AND(M151&gt;5000,L151&lt;&gt;"East"),"High-Value Merchant Day","No")</f>
        <v>No</v>
      </c>
    </row>
    <row r="152" customFormat="false" ht="15" hidden="false" customHeight="false" outlineLevel="0" collapsed="false">
      <c r="A152" s="2" t="s">
        <v>230</v>
      </c>
      <c r="B152" s="2" t="n">
        <v>122</v>
      </c>
      <c r="C152" s="2" t="n">
        <v>25</v>
      </c>
      <c r="D152" s="9" t="n">
        <v>46050.6291666667</v>
      </c>
      <c r="E152" s="10" t="n">
        <f aca="false">INT(D152)</f>
        <v>46050</v>
      </c>
      <c r="F152" s="2" t="n">
        <v>299</v>
      </c>
      <c r="G152" s="2" t="s">
        <v>56</v>
      </c>
      <c r="H152" s="2" t="s">
        <v>78</v>
      </c>
      <c r="I152" s="2" t="n">
        <v>73</v>
      </c>
      <c r="J152" s="2" t="str">
        <f aca="false">IFERROR(VLOOKUP($C152,merchants!$A$2:$D$41,2,FALSE()),"Merchant not found")</f>
        <v>Merchant_025</v>
      </c>
      <c r="K152" s="2" t="str">
        <f aca="false">IFERROR(VLOOKUP($C152,merchants!$A$2:$D$41,3,FALSE()),"Merchant not found")</f>
        <v>travel</v>
      </c>
      <c r="L152" s="2" t="str">
        <f aca="false">IFERROR(VLOOKUP($C152,merchants!$A$2:$D$41,4,FALSE()),"Merchant not found")</f>
        <v>South</v>
      </c>
      <c r="M152" s="2" t="n">
        <f aca="false">SUMIFS($F$2:$F$548,$C$2:$C$548,C152,$E$2:$E$548,E152)</f>
        <v>299</v>
      </c>
      <c r="N152" s="2" t="str">
        <f aca="false">IF(AND(M152&gt;5000,L152&lt;&gt;"East"),"High-Value Merchant Day","No")</f>
        <v>No</v>
      </c>
    </row>
    <row r="153" customFormat="false" ht="15" hidden="false" customHeight="false" outlineLevel="0" collapsed="false">
      <c r="A153" s="2" t="s">
        <v>231</v>
      </c>
      <c r="B153" s="2" t="n">
        <v>152</v>
      </c>
      <c r="C153" s="2" t="n">
        <v>2</v>
      </c>
      <c r="D153" s="9" t="n">
        <v>46034.7625</v>
      </c>
      <c r="E153" s="10" t="n">
        <f aca="false">INT(D153)</f>
        <v>46034</v>
      </c>
      <c r="F153" s="2" t="n">
        <v>49</v>
      </c>
      <c r="G153" s="2" t="s">
        <v>56</v>
      </c>
      <c r="H153" s="2" t="s">
        <v>78</v>
      </c>
      <c r="I153" s="2" t="n">
        <v>84</v>
      </c>
      <c r="J153" s="2" t="str">
        <f aca="false">IFERROR(VLOOKUP($C153,merchants!$A$2:$D$41,2,FALSE()),"Merchant not found")</f>
        <v>Merchant_002</v>
      </c>
      <c r="K153" s="2" t="str">
        <f aca="false">IFERROR(VLOOKUP($C153,merchants!$A$2:$D$41,3,FALSE()),"Merchant not found")</f>
        <v>grocery</v>
      </c>
      <c r="L153" s="2" t="str">
        <f aca="false">IFERROR(VLOOKUP($C153,merchants!$A$2:$D$41,4,FALSE()),"Merchant not found")</f>
        <v>West</v>
      </c>
      <c r="M153" s="2" t="n">
        <f aca="false">SUMIFS($F$2:$F$548,$C$2:$C$548,C153,$E$2:$E$548,E153)</f>
        <v>348</v>
      </c>
      <c r="N153" s="2" t="str">
        <f aca="false">IF(AND(M153&gt;5000,L153&lt;&gt;"East"),"High-Value Merchant Day","No")</f>
        <v>No</v>
      </c>
    </row>
    <row r="154" customFormat="false" ht="15" hidden="false" customHeight="false" outlineLevel="0" collapsed="false">
      <c r="A154" s="2" t="s">
        <v>232</v>
      </c>
      <c r="B154" s="2" t="n">
        <v>290</v>
      </c>
      <c r="C154" s="2" t="n">
        <v>4</v>
      </c>
      <c r="D154" s="9" t="n">
        <v>46035.3333333333</v>
      </c>
      <c r="E154" s="10" t="n">
        <f aca="false">INT(D154)</f>
        <v>46035</v>
      </c>
      <c r="F154" s="2" t="n">
        <v>149</v>
      </c>
      <c r="G154" s="2" t="s">
        <v>56</v>
      </c>
      <c r="H154" s="2" t="s">
        <v>78</v>
      </c>
      <c r="I154" s="2" t="n">
        <v>77</v>
      </c>
      <c r="J154" s="2" t="str">
        <f aca="false">IFERROR(VLOOKUP($C154,merchants!$A$2:$D$41,2,FALSE()),"Merchant not found")</f>
        <v>Merchant_004</v>
      </c>
      <c r="K154" s="2" t="str">
        <f aca="false">IFERROR(VLOOKUP($C154,merchants!$A$2:$D$41,3,FALSE()),"Merchant not found")</f>
        <v>ecommerce</v>
      </c>
      <c r="L154" s="2" t="str">
        <f aca="false">IFERROR(VLOOKUP($C154,merchants!$A$2:$D$41,4,FALSE()),"Merchant not found")</f>
        <v>East</v>
      </c>
      <c r="M154" s="2" t="n">
        <f aca="false">SUMIFS($F$2:$F$548,$C$2:$C$548,C154,$E$2:$E$548,E154)</f>
        <v>948</v>
      </c>
      <c r="N154" s="2" t="str">
        <f aca="false">IF(AND(M154&gt;5000,L154&lt;&gt;"East"),"High-Value Merchant Day","No")</f>
        <v>No</v>
      </c>
    </row>
    <row r="155" customFormat="false" ht="15" hidden="false" customHeight="false" outlineLevel="0" collapsed="false">
      <c r="A155" s="2" t="s">
        <v>233</v>
      </c>
      <c r="B155" s="2" t="n">
        <v>147</v>
      </c>
      <c r="C155" s="2" t="n">
        <v>15</v>
      </c>
      <c r="D155" s="9" t="n">
        <v>46046.6618055556</v>
      </c>
      <c r="E155" s="10" t="n">
        <f aca="false">INT(D155)</f>
        <v>46046</v>
      </c>
      <c r="F155" s="2" t="n">
        <v>49</v>
      </c>
      <c r="G155" s="2" t="s">
        <v>57</v>
      </c>
      <c r="H155" s="2" t="s">
        <v>78</v>
      </c>
      <c r="I155" s="2" t="n">
        <v>77</v>
      </c>
      <c r="J155" s="2" t="str">
        <f aca="false">IFERROR(VLOOKUP($C155,merchants!$A$2:$D$41,2,FALSE()),"Merchant not found")</f>
        <v>Merchant_015</v>
      </c>
      <c r="K155" s="2" t="str">
        <f aca="false">IFERROR(VLOOKUP($C155,merchants!$A$2:$D$41,3,FALSE()),"Merchant not found")</f>
        <v>travel</v>
      </c>
      <c r="L155" s="2" t="str">
        <f aca="false">IFERROR(VLOOKUP($C155,merchants!$A$2:$D$41,4,FALSE()),"Merchant not found")</f>
        <v>North</v>
      </c>
      <c r="M155" s="2" t="n">
        <f aca="false">SUMIFS($F$2:$F$548,$C$2:$C$548,C155,$E$2:$E$548,E155)</f>
        <v>148</v>
      </c>
      <c r="N155" s="2" t="str">
        <f aca="false">IF(AND(M155&gt;5000,L155&lt;&gt;"East"),"High-Value Merchant Day","No")</f>
        <v>No</v>
      </c>
    </row>
    <row r="156" customFormat="false" ht="15" hidden="false" customHeight="false" outlineLevel="0" collapsed="false">
      <c r="A156" s="2" t="s">
        <v>234</v>
      </c>
      <c r="B156" s="2" t="n">
        <v>326</v>
      </c>
      <c r="C156" s="2" t="n">
        <v>13</v>
      </c>
      <c r="D156" s="9" t="n">
        <v>46048.4680555556</v>
      </c>
      <c r="E156" s="10" t="n">
        <f aca="false">INT(D156)</f>
        <v>46048</v>
      </c>
      <c r="F156" s="2" t="n">
        <v>299</v>
      </c>
      <c r="G156" s="2" t="s">
        <v>59</v>
      </c>
      <c r="H156" s="2" t="s">
        <v>78</v>
      </c>
      <c r="I156" s="2" t="n">
        <v>79</v>
      </c>
      <c r="J156" s="2" t="str">
        <f aca="false">IFERROR(VLOOKUP($C156,merchants!$A$2:$D$41,2,FALSE()),"Merchant not found")</f>
        <v>Merchant_013</v>
      </c>
      <c r="K156" s="2" t="str">
        <f aca="false">IFERROR(VLOOKUP($C156,merchants!$A$2:$D$41,3,FALSE()),"Merchant not found")</f>
        <v>travel</v>
      </c>
      <c r="L156" s="2" t="str">
        <f aca="false">IFERROR(VLOOKUP($C156,merchants!$A$2:$D$41,4,FALSE()),"Merchant not found")</f>
        <v>East</v>
      </c>
      <c r="M156" s="2" t="n">
        <f aca="false">SUMIFS($F$2:$F$548,$C$2:$C$548,C156,$E$2:$E$548,E156)</f>
        <v>299</v>
      </c>
      <c r="N156" s="2" t="str">
        <f aca="false">IF(AND(M156&gt;5000,L156&lt;&gt;"East"),"High-Value Merchant Day","No")</f>
        <v>No</v>
      </c>
    </row>
    <row r="157" customFormat="false" ht="15" hidden="false" customHeight="false" outlineLevel="0" collapsed="false">
      <c r="A157" s="2" t="s">
        <v>235</v>
      </c>
      <c r="B157" s="2" t="n">
        <v>338</v>
      </c>
      <c r="C157" s="2" t="n">
        <v>9</v>
      </c>
      <c r="D157" s="9" t="n">
        <v>46031.9083333333</v>
      </c>
      <c r="E157" s="10" t="n">
        <f aca="false">INT(D157)</f>
        <v>46031</v>
      </c>
      <c r="F157" s="2" t="n">
        <v>99</v>
      </c>
      <c r="G157" s="2" t="s">
        <v>58</v>
      </c>
      <c r="H157" s="2" t="s">
        <v>78</v>
      </c>
      <c r="I157" s="2" t="n">
        <v>80</v>
      </c>
      <c r="J157" s="2" t="str">
        <f aca="false">IFERROR(VLOOKUP($C157,merchants!$A$2:$D$41,2,FALSE()),"Merchant not found")</f>
        <v>Merchant_009</v>
      </c>
      <c r="K157" s="2" t="str">
        <f aca="false">IFERROR(VLOOKUP($C157,merchants!$A$2:$D$41,3,FALSE()),"Merchant not found")</f>
        <v>ecommerce</v>
      </c>
      <c r="L157" s="2" t="str">
        <f aca="false">IFERROR(VLOOKUP($C157,merchants!$A$2:$D$41,4,FALSE()),"Merchant not found")</f>
        <v>North</v>
      </c>
      <c r="M157" s="2" t="n">
        <f aca="false">SUMIFS($F$2:$F$548,$C$2:$C$548,C157,$E$2:$E$548,E157)</f>
        <v>99</v>
      </c>
      <c r="N157" s="2" t="str">
        <f aca="false">IF(AND(M157&gt;5000,L157&lt;&gt;"East"),"High-Value Merchant Day","No")</f>
        <v>No</v>
      </c>
    </row>
    <row r="158" customFormat="false" ht="15" hidden="false" customHeight="false" outlineLevel="0" collapsed="false">
      <c r="A158" s="2" t="s">
        <v>236</v>
      </c>
      <c r="B158" s="2" t="n">
        <v>21</v>
      </c>
      <c r="C158" s="2" t="n">
        <v>20</v>
      </c>
      <c r="D158" s="9" t="n">
        <v>46026.8618055556</v>
      </c>
      <c r="E158" s="10" t="n">
        <f aca="false">INT(D158)</f>
        <v>46026</v>
      </c>
      <c r="F158" s="2" t="n">
        <v>2999</v>
      </c>
      <c r="G158" s="2" t="s">
        <v>56</v>
      </c>
      <c r="H158" s="2" t="s">
        <v>78</v>
      </c>
      <c r="I158" s="2" t="n">
        <v>100</v>
      </c>
      <c r="J158" s="2" t="str">
        <f aca="false">IFERROR(VLOOKUP($C158,merchants!$A$2:$D$41,2,FALSE()),"Merchant not found")</f>
        <v>Merchant_020</v>
      </c>
      <c r="K158" s="2" t="str">
        <f aca="false">IFERROR(VLOOKUP($C158,merchants!$A$2:$D$41,3,FALSE()),"Merchant not found")</f>
        <v>food_delivery</v>
      </c>
      <c r="L158" s="2" t="str">
        <f aca="false">IFERROR(VLOOKUP($C158,merchants!$A$2:$D$41,4,FALSE()),"Merchant not found")</f>
        <v>East</v>
      </c>
      <c r="M158" s="2" t="n">
        <f aca="false">SUMIFS($F$2:$F$548,$C$2:$C$548,C158,$E$2:$E$548,E158)</f>
        <v>2999</v>
      </c>
      <c r="N158" s="2" t="str">
        <f aca="false">IF(AND(M158&gt;5000,L158&lt;&gt;"East"),"High-Value Merchant Day","No")</f>
        <v>No</v>
      </c>
    </row>
    <row r="159" customFormat="false" ht="15" hidden="false" customHeight="false" outlineLevel="0" collapsed="false">
      <c r="A159" s="2" t="s">
        <v>237</v>
      </c>
      <c r="B159" s="2" t="n">
        <v>187</v>
      </c>
      <c r="C159" s="2" t="n">
        <v>9</v>
      </c>
      <c r="D159" s="9" t="n">
        <v>46037.0673611111</v>
      </c>
      <c r="E159" s="10" t="n">
        <f aca="false">INT(D159)</f>
        <v>46037</v>
      </c>
      <c r="F159" s="2" t="n">
        <v>49</v>
      </c>
      <c r="G159" s="2" t="s">
        <v>58</v>
      </c>
      <c r="H159" s="2" t="s">
        <v>90</v>
      </c>
      <c r="I159" s="2" t="n">
        <v>11</v>
      </c>
      <c r="J159" s="2" t="str">
        <f aca="false">IFERROR(VLOOKUP($C159,merchants!$A$2:$D$41,2,FALSE()),"Merchant not found")</f>
        <v>Merchant_009</v>
      </c>
      <c r="K159" s="2" t="str">
        <f aca="false">IFERROR(VLOOKUP($C159,merchants!$A$2:$D$41,3,FALSE()),"Merchant not found")</f>
        <v>ecommerce</v>
      </c>
      <c r="L159" s="2" t="str">
        <f aca="false">IFERROR(VLOOKUP($C159,merchants!$A$2:$D$41,4,FALSE()),"Merchant not found")</f>
        <v>North</v>
      </c>
      <c r="M159" s="2" t="n">
        <f aca="false">SUMIFS($F$2:$F$548,$C$2:$C$548,C159,$E$2:$E$548,E159)</f>
        <v>148</v>
      </c>
      <c r="N159" s="2" t="str">
        <f aca="false">IF(AND(M159&gt;5000,L159&lt;&gt;"East"),"High-Value Merchant Day","No")</f>
        <v>No</v>
      </c>
    </row>
    <row r="160" customFormat="false" ht="15" hidden="false" customHeight="false" outlineLevel="0" collapsed="false">
      <c r="A160" s="2" t="s">
        <v>238</v>
      </c>
      <c r="B160" s="2" t="n">
        <v>213</v>
      </c>
      <c r="C160" s="2" t="n">
        <v>12</v>
      </c>
      <c r="D160" s="9" t="n">
        <v>46052.3888888889</v>
      </c>
      <c r="E160" s="10" t="n">
        <f aca="false">INT(D160)</f>
        <v>46052</v>
      </c>
      <c r="F160" s="2" t="n">
        <v>4999</v>
      </c>
      <c r="G160" s="2" t="s">
        <v>56</v>
      </c>
      <c r="H160" s="2" t="s">
        <v>78</v>
      </c>
      <c r="I160" s="2" t="n">
        <v>25</v>
      </c>
      <c r="J160" s="2" t="str">
        <f aca="false">IFERROR(VLOOKUP($C160,merchants!$A$2:$D$41,2,FALSE()),"Merchant not found")</f>
        <v>Merchant_012</v>
      </c>
      <c r="K160" s="2" t="str">
        <f aca="false">IFERROR(VLOOKUP($C160,merchants!$A$2:$D$41,3,FALSE()),"Merchant not found")</f>
        <v>ecommerce</v>
      </c>
      <c r="L160" s="2" t="str">
        <f aca="false">IFERROR(VLOOKUP($C160,merchants!$A$2:$D$41,4,FALSE()),"Merchant not found")</f>
        <v>East</v>
      </c>
      <c r="M160" s="2" t="n">
        <f aca="false">SUMIFS($F$2:$F$548,$C$2:$C$548,C160,$E$2:$E$548,E160)</f>
        <v>4999</v>
      </c>
      <c r="N160" s="2" t="str">
        <f aca="false">IF(AND(M160&gt;5000,L160&lt;&gt;"East"),"High-Value Merchant Day","No")</f>
        <v>No</v>
      </c>
    </row>
    <row r="161" customFormat="false" ht="15" hidden="false" customHeight="false" outlineLevel="0" collapsed="false">
      <c r="A161" s="2" t="s">
        <v>239</v>
      </c>
      <c r="B161" s="2" t="n">
        <v>188</v>
      </c>
      <c r="C161" s="2" t="n">
        <v>34</v>
      </c>
      <c r="D161" s="9" t="n">
        <v>46027.7472222222</v>
      </c>
      <c r="E161" s="10" t="n">
        <f aca="false">INT(D161)</f>
        <v>46027</v>
      </c>
      <c r="F161" s="2" t="n">
        <v>2999</v>
      </c>
      <c r="G161" s="2" t="s">
        <v>56</v>
      </c>
      <c r="H161" s="2" t="s">
        <v>78</v>
      </c>
      <c r="I161" s="2" t="n">
        <v>64</v>
      </c>
      <c r="J161" s="2" t="str">
        <f aca="false">IFERROR(VLOOKUP($C161,merchants!$A$2:$D$41,2,FALSE()),"Merchant not found")</f>
        <v>Merchant_034</v>
      </c>
      <c r="K161" s="2" t="str">
        <f aca="false">IFERROR(VLOOKUP($C161,merchants!$A$2:$D$41,3,FALSE()),"Merchant not found")</f>
        <v>travel</v>
      </c>
      <c r="L161" s="2" t="str">
        <f aca="false">IFERROR(VLOOKUP($C161,merchants!$A$2:$D$41,4,FALSE()),"Merchant not found")</f>
        <v>South</v>
      </c>
      <c r="M161" s="2" t="n">
        <f aca="false">SUMIFS($F$2:$F$548,$C$2:$C$548,C161,$E$2:$E$548,E161)</f>
        <v>2999</v>
      </c>
      <c r="N161" s="2" t="str">
        <f aca="false">IF(AND(M161&gt;5000,L161&lt;&gt;"East"),"High-Value Merchant Day","No")</f>
        <v>No</v>
      </c>
    </row>
    <row r="162" customFormat="false" ht="15" hidden="false" customHeight="false" outlineLevel="0" collapsed="false">
      <c r="A162" s="2" t="s">
        <v>240</v>
      </c>
      <c r="B162" s="2" t="n">
        <v>85</v>
      </c>
      <c r="C162" s="2" t="n">
        <v>17</v>
      </c>
      <c r="D162" s="9" t="n">
        <v>46052.3701388889</v>
      </c>
      <c r="E162" s="10" t="n">
        <f aca="false">INT(D162)</f>
        <v>46052</v>
      </c>
      <c r="F162" s="2" t="n">
        <v>499</v>
      </c>
      <c r="G162" s="2" t="s">
        <v>56</v>
      </c>
      <c r="H162" s="2" t="s">
        <v>78</v>
      </c>
      <c r="I162" s="2" t="n">
        <v>61</v>
      </c>
      <c r="J162" s="2" t="str">
        <f aca="false">IFERROR(VLOOKUP($C162,merchants!$A$2:$D$41,2,FALSE()),"Merchant not found")</f>
        <v>Merchant_017</v>
      </c>
      <c r="K162" s="2" t="str">
        <f aca="false">IFERROR(VLOOKUP($C162,merchants!$A$2:$D$41,3,FALSE()),"Merchant not found")</f>
        <v>grocery</v>
      </c>
      <c r="L162" s="2" t="str">
        <f aca="false">IFERROR(VLOOKUP($C162,merchants!$A$2:$D$41,4,FALSE()),"Merchant not found")</f>
        <v>North</v>
      </c>
      <c r="M162" s="2" t="n">
        <f aca="false">SUMIFS($F$2:$F$548,$C$2:$C$548,C162,$E$2:$E$548,E162)</f>
        <v>499</v>
      </c>
      <c r="N162" s="2" t="str">
        <f aca="false">IF(AND(M162&gt;5000,L162&lt;&gt;"East"),"High-Value Merchant Day","No")</f>
        <v>No</v>
      </c>
    </row>
    <row r="163" customFormat="false" ht="15" hidden="false" customHeight="false" outlineLevel="0" collapsed="false">
      <c r="A163" s="2" t="s">
        <v>241</v>
      </c>
      <c r="B163" s="2" t="n">
        <v>174</v>
      </c>
      <c r="C163" s="2" t="n">
        <v>8</v>
      </c>
      <c r="D163" s="9" t="n">
        <v>46048.4076388889</v>
      </c>
      <c r="E163" s="10" t="n">
        <f aca="false">INT(D163)</f>
        <v>46048</v>
      </c>
      <c r="F163" s="2" t="n">
        <v>299</v>
      </c>
      <c r="G163" s="2" t="s">
        <v>59</v>
      </c>
      <c r="H163" s="2" t="s">
        <v>78</v>
      </c>
      <c r="I163" s="2" t="n">
        <v>59</v>
      </c>
      <c r="J163" s="2" t="str">
        <f aca="false">IFERROR(VLOOKUP($C163,merchants!$A$2:$D$41,2,FALSE()),"Merchant not found")</f>
        <v>Merchant_008</v>
      </c>
      <c r="K163" s="2" t="str">
        <f aca="false">IFERROR(VLOOKUP($C163,merchants!$A$2:$D$41,3,FALSE()),"Merchant not found")</f>
        <v>food_delivery</v>
      </c>
      <c r="L163" s="2" t="str">
        <f aca="false">IFERROR(VLOOKUP($C163,merchants!$A$2:$D$41,4,FALSE()),"Merchant not found")</f>
        <v>North</v>
      </c>
      <c r="M163" s="2" t="n">
        <f aca="false">SUMIFS($F$2:$F$548,$C$2:$C$548,C163,$E$2:$E$548,E163)</f>
        <v>598</v>
      </c>
      <c r="N163" s="2" t="str">
        <f aca="false">IF(AND(M163&gt;5000,L163&lt;&gt;"East"),"High-Value Merchant Day","No")</f>
        <v>No</v>
      </c>
    </row>
    <row r="164" customFormat="false" ht="15" hidden="false" customHeight="false" outlineLevel="0" collapsed="false">
      <c r="A164" s="2" t="s">
        <v>242</v>
      </c>
      <c r="B164" s="2" t="n">
        <v>116</v>
      </c>
      <c r="C164" s="2" t="n">
        <v>26</v>
      </c>
      <c r="D164" s="9" t="n">
        <v>46025.2</v>
      </c>
      <c r="E164" s="10" t="n">
        <f aca="false">INT(D164)</f>
        <v>46025</v>
      </c>
      <c r="F164" s="2" t="n">
        <v>99</v>
      </c>
      <c r="G164" s="2" t="s">
        <v>59</v>
      </c>
      <c r="H164" s="2" t="s">
        <v>78</v>
      </c>
      <c r="I164" s="2" t="n">
        <v>71</v>
      </c>
      <c r="J164" s="2" t="str">
        <f aca="false">IFERROR(VLOOKUP($C164,merchants!$A$2:$D$41,2,FALSE()),"Merchant not found")</f>
        <v>Merchant_026</v>
      </c>
      <c r="K164" s="2" t="str">
        <f aca="false">IFERROR(VLOOKUP($C164,merchants!$A$2:$D$41,3,FALSE()),"Merchant not found")</f>
        <v>food_delivery</v>
      </c>
      <c r="L164" s="2" t="str">
        <f aca="false">IFERROR(VLOOKUP($C164,merchants!$A$2:$D$41,4,FALSE()),"Merchant not found")</f>
        <v>East</v>
      </c>
      <c r="M164" s="2" t="n">
        <f aca="false">SUMIFS($F$2:$F$548,$C$2:$C$548,C164,$E$2:$E$548,E164)</f>
        <v>99</v>
      </c>
      <c r="N164" s="2" t="str">
        <f aca="false">IF(AND(M164&gt;5000,L164&lt;&gt;"East"),"High-Value Merchant Day","No")</f>
        <v>No</v>
      </c>
    </row>
    <row r="165" customFormat="false" ht="15" hidden="false" customHeight="false" outlineLevel="0" collapsed="false">
      <c r="A165" s="2" t="s">
        <v>243</v>
      </c>
      <c r="B165" s="2" t="n">
        <v>203</v>
      </c>
      <c r="C165" s="2" t="n">
        <v>1</v>
      </c>
      <c r="D165" s="9" t="n">
        <v>46034.1180555556</v>
      </c>
      <c r="E165" s="10" t="n">
        <f aca="false">INT(D165)</f>
        <v>46034</v>
      </c>
      <c r="F165" s="2" t="n">
        <v>149</v>
      </c>
      <c r="G165" s="2" t="s">
        <v>57</v>
      </c>
      <c r="H165" s="2" t="s">
        <v>78</v>
      </c>
      <c r="I165" s="2" t="n">
        <v>33</v>
      </c>
      <c r="J165" s="2" t="str">
        <f aca="false">IFERROR(VLOOKUP($C165,merchants!$A$2:$D$41,2,FALSE()),"Merchant not found")</f>
        <v>Merchant_001</v>
      </c>
      <c r="K165" s="2" t="str">
        <f aca="false">IFERROR(VLOOKUP($C165,merchants!$A$2:$D$41,3,FALSE()),"Merchant not found")</f>
        <v>ecommerce</v>
      </c>
      <c r="L165" s="2" t="str">
        <f aca="false">IFERROR(VLOOKUP($C165,merchants!$A$2:$D$41,4,FALSE()),"Merchant not found")</f>
        <v>South</v>
      </c>
      <c r="M165" s="2" t="n">
        <f aca="false">SUMIFS($F$2:$F$548,$C$2:$C$548,C165,$E$2:$E$548,E165)</f>
        <v>149</v>
      </c>
      <c r="N165" s="2" t="str">
        <f aca="false">IF(AND(M165&gt;5000,L165&lt;&gt;"East"),"High-Value Merchant Day","No")</f>
        <v>No</v>
      </c>
    </row>
    <row r="166" customFormat="false" ht="15" hidden="false" customHeight="false" outlineLevel="0" collapsed="false">
      <c r="A166" s="2" t="s">
        <v>244</v>
      </c>
      <c r="B166" s="2" t="n">
        <v>189</v>
      </c>
      <c r="C166" s="2" t="n">
        <v>17</v>
      </c>
      <c r="D166" s="9" t="n">
        <v>46040.1451388889</v>
      </c>
      <c r="E166" s="10" t="n">
        <f aca="false">INT(D166)</f>
        <v>46040</v>
      </c>
      <c r="F166" s="2" t="n">
        <v>99</v>
      </c>
      <c r="G166" s="2" t="s">
        <v>56</v>
      </c>
      <c r="H166" s="2" t="s">
        <v>78</v>
      </c>
      <c r="I166" s="2" t="n">
        <v>74</v>
      </c>
      <c r="J166" s="2" t="str">
        <f aca="false">IFERROR(VLOOKUP($C166,merchants!$A$2:$D$41,2,FALSE()),"Merchant not found")</f>
        <v>Merchant_017</v>
      </c>
      <c r="K166" s="2" t="str">
        <f aca="false">IFERROR(VLOOKUP($C166,merchants!$A$2:$D$41,3,FALSE()),"Merchant not found")</f>
        <v>grocery</v>
      </c>
      <c r="L166" s="2" t="str">
        <f aca="false">IFERROR(VLOOKUP($C166,merchants!$A$2:$D$41,4,FALSE()),"Merchant not found")</f>
        <v>North</v>
      </c>
      <c r="M166" s="2" t="n">
        <f aca="false">SUMIFS($F$2:$F$548,$C$2:$C$548,C166,$E$2:$E$548,E166)</f>
        <v>198</v>
      </c>
      <c r="N166" s="2" t="str">
        <f aca="false">IF(AND(M166&gt;5000,L166&lt;&gt;"East"),"High-Value Merchant Day","No")</f>
        <v>No</v>
      </c>
    </row>
    <row r="167" customFormat="false" ht="15" hidden="false" customHeight="false" outlineLevel="0" collapsed="false">
      <c r="A167" s="2" t="s">
        <v>245</v>
      </c>
      <c r="B167" s="2" t="n">
        <v>56</v>
      </c>
      <c r="C167" s="2" t="n">
        <v>15</v>
      </c>
      <c r="D167" s="9" t="n">
        <v>46035.8493055556</v>
      </c>
      <c r="E167" s="10" t="n">
        <f aca="false">INT(D167)</f>
        <v>46035</v>
      </c>
      <c r="F167" s="2" t="n">
        <v>299</v>
      </c>
      <c r="G167" s="2" t="s">
        <v>56</v>
      </c>
      <c r="H167" s="2" t="s">
        <v>78</v>
      </c>
      <c r="I167" s="2" t="n">
        <v>60</v>
      </c>
      <c r="J167" s="2" t="str">
        <f aca="false">IFERROR(VLOOKUP($C167,merchants!$A$2:$D$41,2,FALSE()),"Merchant not found")</f>
        <v>Merchant_015</v>
      </c>
      <c r="K167" s="2" t="str">
        <f aca="false">IFERROR(VLOOKUP($C167,merchants!$A$2:$D$41,3,FALSE()),"Merchant not found")</f>
        <v>travel</v>
      </c>
      <c r="L167" s="2" t="str">
        <f aca="false">IFERROR(VLOOKUP($C167,merchants!$A$2:$D$41,4,FALSE()),"Merchant not found")</f>
        <v>North</v>
      </c>
      <c r="M167" s="2" t="n">
        <f aca="false">SUMIFS($F$2:$F$548,$C$2:$C$548,C167,$E$2:$E$548,E167)</f>
        <v>299</v>
      </c>
      <c r="N167" s="2" t="str">
        <f aca="false">IF(AND(M167&gt;5000,L167&lt;&gt;"East"),"High-Value Merchant Day","No")</f>
        <v>No</v>
      </c>
    </row>
    <row r="168" customFormat="false" ht="15" hidden="false" customHeight="false" outlineLevel="0" collapsed="false">
      <c r="A168" s="2" t="s">
        <v>246</v>
      </c>
      <c r="B168" s="2" t="n">
        <v>288</v>
      </c>
      <c r="C168" s="2" t="n">
        <v>21</v>
      </c>
      <c r="D168" s="9" t="n">
        <v>46023.8305555556</v>
      </c>
      <c r="E168" s="10" t="n">
        <f aca="false">INT(D168)</f>
        <v>46023</v>
      </c>
      <c r="F168" s="2" t="n">
        <v>4999</v>
      </c>
      <c r="G168" s="2" t="s">
        <v>57</v>
      </c>
      <c r="H168" s="2" t="s">
        <v>90</v>
      </c>
      <c r="I168" s="2" t="n">
        <v>78</v>
      </c>
      <c r="J168" s="2" t="str">
        <f aca="false">IFERROR(VLOOKUP($C168,merchants!$A$2:$D$41,2,FALSE()),"Merchant not found")</f>
        <v>Merchant_021</v>
      </c>
      <c r="K168" s="2" t="str">
        <f aca="false">IFERROR(VLOOKUP($C168,merchants!$A$2:$D$41,3,FALSE()),"Merchant not found")</f>
        <v>food_delivery</v>
      </c>
      <c r="L168" s="2" t="str">
        <f aca="false">IFERROR(VLOOKUP($C168,merchants!$A$2:$D$41,4,FALSE()),"Merchant not found")</f>
        <v>East</v>
      </c>
      <c r="M168" s="2" t="n">
        <f aca="false">SUMIFS($F$2:$F$548,$C$2:$C$548,C168,$E$2:$E$548,E168)</f>
        <v>5298</v>
      </c>
      <c r="N168" s="2" t="str">
        <f aca="false">IF(AND(M168&gt;5000,L168&lt;&gt;"East"),"High-Value Merchant Day","No")</f>
        <v>No</v>
      </c>
    </row>
    <row r="169" customFormat="false" ht="15" hidden="false" customHeight="false" outlineLevel="0" collapsed="false">
      <c r="A169" s="2" t="s">
        <v>247</v>
      </c>
      <c r="B169" s="2" t="n">
        <v>326</v>
      </c>
      <c r="C169" s="2" t="n">
        <v>30</v>
      </c>
      <c r="D169" s="9" t="n">
        <v>46030.8361111111</v>
      </c>
      <c r="E169" s="10" t="n">
        <f aca="false">INT(D169)</f>
        <v>46030</v>
      </c>
      <c r="F169" s="2" t="n">
        <v>99</v>
      </c>
      <c r="G169" s="2" t="s">
        <v>58</v>
      </c>
      <c r="H169" s="2" t="s">
        <v>78</v>
      </c>
      <c r="I169" s="2" t="n">
        <v>89</v>
      </c>
      <c r="J169" s="2" t="str">
        <f aca="false">IFERROR(VLOOKUP($C169,merchants!$A$2:$D$41,2,FALSE()),"Merchant not found")</f>
        <v>Merchant_030</v>
      </c>
      <c r="K169" s="2" t="str">
        <f aca="false">IFERROR(VLOOKUP($C169,merchants!$A$2:$D$41,3,FALSE()),"Merchant not found")</f>
        <v>travel</v>
      </c>
      <c r="L169" s="2" t="str">
        <f aca="false">IFERROR(VLOOKUP($C169,merchants!$A$2:$D$41,4,FALSE()),"Merchant not found")</f>
        <v>West</v>
      </c>
      <c r="M169" s="2" t="n">
        <f aca="false">SUMIFS($F$2:$F$548,$C$2:$C$548,C169,$E$2:$E$548,E169)</f>
        <v>1197</v>
      </c>
      <c r="N169" s="2" t="str">
        <f aca="false">IF(AND(M169&gt;5000,L169&lt;&gt;"East"),"High-Value Merchant Day","No")</f>
        <v>No</v>
      </c>
    </row>
    <row r="170" customFormat="false" ht="15" hidden="false" customHeight="false" outlineLevel="0" collapsed="false">
      <c r="A170" s="2" t="s">
        <v>248</v>
      </c>
      <c r="B170" s="2" t="n">
        <v>60</v>
      </c>
      <c r="C170" s="2" t="n">
        <v>9</v>
      </c>
      <c r="D170" s="9" t="n">
        <v>46032.8513888889</v>
      </c>
      <c r="E170" s="10" t="n">
        <f aca="false">INT(D170)</f>
        <v>46032</v>
      </c>
      <c r="F170" s="2" t="n">
        <v>49</v>
      </c>
      <c r="G170" s="2" t="s">
        <v>59</v>
      </c>
      <c r="H170" s="2" t="s">
        <v>78</v>
      </c>
      <c r="I170" s="2" t="n">
        <v>5</v>
      </c>
      <c r="J170" s="2" t="str">
        <f aca="false">IFERROR(VLOOKUP($C170,merchants!$A$2:$D$41,2,FALSE()),"Merchant not found")</f>
        <v>Merchant_009</v>
      </c>
      <c r="K170" s="2" t="str">
        <f aca="false">IFERROR(VLOOKUP($C170,merchants!$A$2:$D$41,3,FALSE()),"Merchant not found")</f>
        <v>ecommerce</v>
      </c>
      <c r="L170" s="2" t="str">
        <f aca="false">IFERROR(VLOOKUP($C170,merchants!$A$2:$D$41,4,FALSE()),"Merchant not found")</f>
        <v>North</v>
      </c>
      <c r="M170" s="2" t="n">
        <f aca="false">SUMIFS($F$2:$F$548,$C$2:$C$548,C170,$E$2:$E$548,E170)</f>
        <v>49</v>
      </c>
      <c r="N170" s="2" t="str">
        <f aca="false">IF(AND(M170&gt;5000,L170&lt;&gt;"East"),"High-Value Merchant Day","No")</f>
        <v>No</v>
      </c>
    </row>
    <row r="171" customFormat="false" ht="15" hidden="false" customHeight="false" outlineLevel="0" collapsed="false">
      <c r="A171" s="2" t="s">
        <v>249</v>
      </c>
      <c r="B171" s="2" t="n">
        <v>60</v>
      </c>
      <c r="C171" s="2" t="n">
        <v>7</v>
      </c>
      <c r="D171" s="9" t="n">
        <v>46024.3965277778</v>
      </c>
      <c r="E171" s="10" t="n">
        <f aca="false">INT(D171)</f>
        <v>46024</v>
      </c>
      <c r="F171" s="2" t="n">
        <v>2999</v>
      </c>
      <c r="G171" s="2" t="s">
        <v>57</v>
      </c>
      <c r="H171" s="2" t="s">
        <v>78</v>
      </c>
      <c r="I171" s="2" t="n">
        <v>30</v>
      </c>
      <c r="J171" s="2" t="str">
        <f aca="false">IFERROR(VLOOKUP($C171,merchants!$A$2:$D$41,2,FALSE()),"Merchant not found")</f>
        <v>Merchant_007</v>
      </c>
      <c r="K171" s="2" t="str">
        <f aca="false">IFERROR(VLOOKUP($C171,merchants!$A$2:$D$41,3,FALSE()),"Merchant not found")</f>
        <v>food_delivery</v>
      </c>
      <c r="L171" s="2" t="str">
        <f aca="false">IFERROR(VLOOKUP($C171,merchants!$A$2:$D$41,4,FALSE()),"Merchant not found")</f>
        <v>East</v>
      </c>
      <c r="M171" s="2" t="n">
        <f aca="false">SUMIFS($F$2:$F$548,$C$2:$C$548,C171,$E$2:$E$548,E171)</f>
        <v>3797</v>
      </c>
      <c r="N171" s="2" t="str">
        <f aca="false">IF(AND(M171&gt;5000,L171&lt;&gt;"East"),"High-Value Merchant Day","No")</f>
        <v>No</v>
      </c>
    </row>
    <row r="172" customFormat="false" ht="15" hidden="false" customHeight="false" outlineLevel="0" collapsed="false">
      <c r="A172" s="2" t="s">
        <v>250</v>
      </c>
      <c r="B172" s="2" t="n">
        <v>199</v>
      </c>
      <c r="C172" s="2" t="n">
        <v>30</v>
      </c>
      <c r="D172" s="9" t="n">
        <v>46051.7138888889</v>
      </c>
      <c r="E172" s="10" t="n">
        <f aca="false">INT(D172)</f>
        <v>46051</v>
      </c>
      <c r="F172" s="2" t="n">
        <v>149</v>
      </c>
      <c r="G172" s="2" t="s">
        <v>59</v>
      </c>
      <c r="H172" s="2" t="s">
        <v>78</v>
      </c>
      <c r="I172" s="2" t="n">
        <v>47</v>
      </c>
      <c r="J172" s="2" t="str">
        <f aca="false">IFERROR(VLOOKUP($C172,merchants!$A$2:$D$41,2,FALSE()),"Merchant not found")</f>
        <v>Merchant_030</v>
      </c>
      <c r="K172" s="2" t="str">
        <f aca="false">IFERROR(VLOOKUP($C172,merchants!$A$2:$D$41,3,FALSE()),"Merchant not found")</f>
        <v>travel</v>
      </c>
      <c r="L172" s="2" t="str">
        <f aca="false">IFERROR(VLOOKUP($C172,merchants!$A$2:$D$41,4,FALSE()),"Merchant not found")</f>
        <v>West</v>
      </c>
      <c r="M172" s="2" t="n">
        <f aca="false">SUMIFS($F$2:$F$548,$C$2:$C$548,C172,$E$2:$E$548,E172)</f>
        <v>149</v>
      </c>
      <c r="N172" s="2" t="str">
        <f aca="false">IF(AND(M172&gt;5000,L172&lt;&gt;"East"),"High-Value Merchant Day","No")</f>
        <v>No</v>
      </c>
    </row>
    <row r="173" customFormat="false" ht="15" hidden="false" customHeight="false" outlineLevel="0" collapsed="false">
      <c r="A173" s="2" t="s">
        <v>251</v>
      </c>
      <c r="B173" s="2" t="n">
        <v>277</v>
      </c>
      <c r="C173" s="2" t="n">
        <v>27</v>
      </c>
      <c r="D173" s="9" t="n">
        <v>46044.9888888889</v>
      </c>
      <c r="E173" s="10" t="n">
        <f aca="false">INT(D173)</f>
        <v>46044</v>
      </c>
      <c r="F173" s="2" t="n">
        <v>49</v>
      </c>
      <c r="G173" s="2" t="s">
        <v>56</v>
      </c>
      <c r="H173" s="2" t="s">
        <v>78</v>
      </c>
      <c r="I173" s="2" t="n">
        <v>75</v>
      </c>
      <c r="J173" s="2" t="str">
        <f aca="false">IFERROR(VLOOKUP($C173,merchants!$A$2:$D$41,2,FALSE()),"Merchant not found")</f>
        <v>Merchant_027</v>
      </c>
      <c r="K173" s="2" t="str">
        <f aca="false">IFERROR(VLOOKUP($C173,merchants!$A$2:$D$41,3,FALSE()),"Merchant not found")</f>
        <v>ecommerce</v>
      </c>
      <c r="L173" s="2" t="str">
        <f aca="false">IFERROR(VLOOKUP($C173,merchants!$A$2:$D$41,4,FALSE()),"Merchant not found")</f>
        <v>North</v>
      </c>
      <c r="M173" s="2" t="n">
        <f aca="false">SUMIFS($F$2:$F$548,$C$2:$C$548,C173,$E$2:$E$548,E173)</f>
        <v>49</v>
      </c>
      <c r="N173" s="2" t="str">
        <f aca="false">IF(AND(M173&gt;5000,L173&lt;&gt;"East"),"High-Value Merchant Day","No")</f>
        <v>No</v>
      </c>
    </row>
    <row r="174" customFormat="false" ht="15" hidden="false" customHeight="false" outlineLevel="0" collapsed="false">
      <c r="A174" s="2" t="s">
        <v>252</v>
      </c>
      <c r="B174" s="2" t="n">
        <v>213</v>
      </c>
      <c r="C174" s="2" t="n">
        <v>7</v>
      </c>
      <c r="D174" s="9" t="n">
        <v>46046.9645833333</v>
      </c>
      <c r="E174" s="10" t="n">
        <f aca="false">INT(D174)</f>
        <v>46046</v>
      </c>
      <c r="F174" s="2" t="n">
        <v>799</v>
      </c>
      <c r="G174" s="2" t="s">
        <v>59</v>
      </c>
      <c r="H174" s="2" t="s">
        <v>78</v>
      </c>
      <c r="I174" s="2" t="n">
        <v>62</v>
      </c>
      <c r="J174" s="2" t="str">
        <f aca="false">IFERROR(VLOOKUP($C174,merchants!$A$2:$D$41,2,FALSE()),"Merchant not found")</f>
        <v>Merchant_007</v>
      </c>
      <c r="K174" s="2" t="str">
        <f aca="false">IFERROR(VLOOKUP($C174,merchants!$A$2:$D$41,3,FALSE()),"Merchant not found")</f>
        <v>food_delivery</v>
      </c>
      <c r="L174" s="2" t="str">
        <f aca="false">IFERROR(VLOOKUP($C174,merchants!$A$2:$D$41,4,FALSE()),"Merchant not found")</f>
        <v>East</v>
      </c>
      <c r="M174" s="2" t="n">
        <f aca="false">SUMIFS($F$2:$F$548,$C$2:$C$548,C174,$E$2:$E$548,E174)</f>
        <v>1298</v>
      </c>
      <c r="N174" s="2" t="str">
        <f aca="false">IF(AND(M174&gt;5000,L174&lt;&gt;"East"),"High-Value Merchant Day","No")</f>
        <v>No</v>
      </c>
    </row>
    <row r="175" customFormat="false" ht="15" hidden="false" customHeight="false" outlineLevel="0" collapsed="false">
      <c r="A175" s="2" t="s">
        <v>253</v>
      </c>
      <c r="B175" s="2" t="n">
        <v>17</v>
      </c>
      <c r="C175" s="2" t="n">
        <v>24</v>
      </c>
      <c r="D175" s="9" t="n">
        <v>46042.5534722222</v>
      </c>
      <c r="E175" s="10" t="n">
        <f aca="false">INT(D175)</f>
        <v>46042</v>
      </c>
      <c r="F175" s="2" t="n">
        <v>299</v>
      </c>
      <c r="G175" s="2" t="s">
        <v>56</v>
      </c>
      <c r="H175" s="2" t="s">
        <v>78</v>
      </c>
      <c r="I175" s="2" t="n">
        <v>27</v>
      </c>
      <c r="J175" s="2" t="str">
        <f aca="false">IFERROR(VLOOKUP($C175,merchants!$A$2:$D$41,2,FALSE()),"Merchant not found")</f>
        <v>Merchant_024</v>
      </c>
      <c r="K175" s="2" t="str">
        <f aca="false">IFERROR(VLOOKUP($C175,merchants!$A$2:$D$41,3,FALSE()),"Merchant not found")</f>
        <v>grocery</v>
      </c>
      <c r="L175" s="2" t="str">
        <f aca="false">IFERROR(VLOOKUP($C175,merchants!$A$2:$D$41,4,FALSE()),"Merchant not found")</f>
        <v>North</v>
      </c>
      <c r="M175" s="2" t="n">
        <f aca="false">SUMIFS($F$2:$F$548,$C$2:$C$548,C175,$E$2:$E$548,E175)</f>
        <v>299</v>
      </c>
      <c r="N175" s="2" t="str">
        <f aca="false">IF(AND(M175&gt;5000,L175&lt;&gt;"East"),"High-Value Merchant Day","No")</f>
        <v>No</v>
      </c>
    </row>
    <row r="176" customFormat="false" ht="15" hidden="false" customHeight="false" outlineLevel="0" collapsed="false">
      <c r="A176" s="2" t="s">
        <v>254</v>
      </c>
      <c r="B176" s="2" t="n">
        <v>186</v>
      </c>
      <c r="C176" s="2" t="n">
        <v>7</v>
      </c>
      <c r="D176" s="9" t="n">
        <v>46037.59375</v>
      </c>
      <c r="E176" s="10" t="n">
        <f aca="false">INT(D176)</f>
        <v>46037</v>
      </c>
      <c r="F176" s="2" t="n">
        <v>1499</v>
      </c>
      <c r="G176" s="2" t="s">
        <v>58</v>
      </c>
      <c r="H176" s="2" t="s">
        <v>90</v>
      </c>
      <c r="I176" s="2" t="n">
        <v>87</v>
      </c>
      <c r="J176" s="2" t="str">
        <f aca="false">IFERROR(VLOOKUP($C176,merchants!$A$2:$D$41,2,FALSE()),"Merchant not found")</f>
        <v>Merchant_007</v>
      </c>
      <c r="K176" s="2" t="str">
        <f aca="false">IFERROR(VLOOKUP($C176,merchants!$A$2:$D$41,3,FALSE()),"Merchant not found")</f>
        <v>food_delivery</v>
      </c>
      <c r="L176" s="2" t="str">
        <f aca="false">IFERROR(VLOOKUP($C176,merchants!$A$2:$D$41,4,FALSE()),"Merchant not found")</f>
        <v>East</v>
      </c>
      <c r="M176" s="2" t="n">
        <f aca="false">SUMIFS($F$2:$F$548,$C$2:$C$548,C176,$E$2:$E$548,E176)</f>
        <v>1648</v>
      </c>
      <c r="N176" s="2" t="str">
        <f aca="false">IF(AND(M176&gt;5000,L176&lt;&gt;"East"),"High-Value Merchant Day","No")</f>
        <v>No</v>
      </c>
    </row>
    <row r="177" customFormat="false" ht="15" hidden="false" customHeight="false" outlineLevel="0" collapsed="false">
      <c r="A177" s="2" t="s">
        <v>255</v>
      </c>
      <c r="B177" s="2" t="n">
        <v>331</v>
      </c>
      <c r="C177" s="2" t="n">
        <v>23</v>
      </c>
      <c r="D177" s="9" t="n">
        <v>46034.7479166667</v>
      </c>
      <c r="E177" s="10" t="n">
        <f aca="false">INT(D177)</f>
        <v>46034</v>
      </c>
      <c r="F177" s="2" t="n">
        <v>149</v>
      </c>
      <c r="G177" s="2" t="s">
        <v>56</v>
      </c>
      <c r="H177" s="2" t="s">
        <v>78</v>
      </c>
      <c r="I177" s="2" t="n">
        <v>7</v>
      </c>
      <c r="J177" s="2" t="str">
        <f aca="false">IFERROR(VLOOKUP($C177,merchants!$A$2:$D$41,2,FALSE()),"Merchant not found")</f>
        <v>Merchant_023</v>
      </c>
      <c r="K177" s="2" t="str">
        <f aca="false">IFERROR(VLOOKUP($C177,merchants!$A$2:$D$41,3,FALSE()),"Merchant not found")</f>
        <v>travel</v>
      </c>
      <c r="L177" s="2" t="str">
        <f aca="false">IFERROR(VLOOKUP($C177,merchants!$A$2:$D$41,4,FALSE()),"Merchant not found")</f>
        <v>North</v>
      </c>
      <c r="M177" s="2" t="n">
        <f aca="false">SUMIFS($F$2:$F$548,$C$2:$C$548,C177,$E$2:$E$548,E177)</f>
        <v>149</v>
      </c>
      <c r="N177" s="2" t="str">
        <f aca="false">IF(AND(M177&gt;5000,L177&lt;&gt;"East"),"High-Value Merchant Day","No")</f>
        <v>No</v>
      </c>
    </row>
    <row r="178" customFormat="false" ht="15" hidden="false" customHeight="false" outlineLevel="0" collapsed="false">
      <c r="A178" s="2" t="s">
        <v>256</v>
      </c>
      <c r="B178" s="2" t="n">
        <v>63</v>
      </c>
      <c r="C178" s="2" t="n">
        <v>30</v>
      </c>
      <c r="D178" s="9" t="n">
        <v>46035.3416666667</v>
      </c>
      <c r="E178" s="10" t="n">
        <f aca="false">INT(D178)</f>
        <v>46035</v>
      </c>
      <c r="F178" s="2" t="n">
        <v>1499</v>
      </c>
      <c r="G178" s="2" t="s">
        <v>58</v>
      </c>
      <c r="H178" s="2" t="s">
        <v>78</v>
      </c>
      <c r="I178" s="2" t="n">
        <v>11</v>
      </c>
      <c r="J178" s="2" t="str">
        <f aca="false">IFERROR(VLOOKUP($C178,merchants!$A$2:$D$41,2,FALSE()),"Merchant not found")</f>
        <v>Merchant_030</v>
      </c>
      <c r="K178" s="2" t="str">
        <f aca="false">IFERROR(VLOOKUP($C178,merchants!$A$2:$D$41,3,FALSE()),"Merchant not found")</f>
        <v>travel</v>
      </c>
      <c r="L178" s="2" t="str">
        <f aca="false">IFERROR(VLOOKUP($C178,merchants!$A$2:$D$41,4,FALSE()),"Merchant not found")</f>
        <v>West</v>
      </c>
      <c r="M178" s="2" t="n">
        <f aca="false">SUMIFS($F$2:$F$548,$C$2:$C$548,C178,$E$2:$E$548,E178)</f>
        <v>1499</v>
      </c>
      <c r="N178" s="2" t="str">
        <f aca="false">IF(AND(M178&gt;5000,L178&lt;&gt;"East"),"High-Value Merchant Day","No")</f>
        <v>No</v>
      </c>
    </row>
    <row r="179" customFormat="false" ht="15" hidden="false" customHeight="false" outlineLevel="0" collapsed="false">
      <c r="A179" s="2" t="s">
        <v>257</v>
      </c>
      <c r="B179" s="2" t="n">
        <v>328</v>
      </c>
      <c r="C179" s="2" t="n">
        <v>39</v>
      </c>
      <c r="D179" s="9" t="n">
        <v>46044.2784722222</v>
      </c>
      <c r="E179" s="10" t="n">
        <f aca="false">INT(D179)</f>
        <v>46044</v>
      </c>
      <c r="F179" s="2" t="n">
        <v>4999</v>
      </c>
      <c r="G179" s="2" t="s">
        <v>57</v>
      </c>
      <c r="H179" s="2" t="s">
        <v>103</v>
      </c>
      <c r="I179" s="2" t="n">
        <v>2</v>
      </c>
      <c r="J179" s="2" t="str">
        <f aca="false">IFERROR(VLOOKUP($C179,merchants!$A$2:$D$41,2,FALSE()),"Merchant not found")</f>
        <v>Merchant_039</v>
      </c>
      <c r="K179" s="2" t="str">
        <f aca="false">IFERROR(VLOOKUP($C179,merchants!$A$2:$D$41,3,FALSE()),"Merchant not found")</f>
        <v>entertainment</v>
      </c>
      <c r="L179" s="2" t="str">
        <f aca="false">IFERROR(VLOOKUP($C179,merchants!$A$2:$D$41,4,FALSE()),"Merchant not found")</f>
        <v>North</v>
      </c>
      <c r="M179" s="2" t="n">
        <f aca="false">SUMIFS($F$2:$F$548,$C$2:$C$548,C179,$E$2:$E$548,E179)</f>
        <v>9796</v>
      </c>
      <c r="N179" s="2" t="str">
        <f aca="false">IF(AND(M179&gt;5000,L179&lt;&gt;"East"),"High-Value Merchant Day","No")</f>
        <v>High-Value Merchant Day</v>
      </c>
    </row>
    <row r="180" customFormat="false" ht="15" hidden="false" customHeight="false" outlineLevel="0" collapsed="false">
      <c r="A180" s="2" t="s">
        <v>258</v>
      </c>
      <c r="B180" s="2" t="n">
        <v>65</v>
      </c>
      <c r="C180" s="2" t="n">
        <v>37</v>
      </c>
      <c r="D180" s="9" t="n">
        <v>46024.4270833333</v>
      </c>
      <c r="E180" s="10" t="n">
        <f aca="false">INT(D180)</f>
        <v>46024</v>
      </c>
      <c r="F180" s="2" t="n">
        <v>2999</v>
      </c>
      <c r="G180" s="2" t="s">
        <v>58</v>
      </c>
      <c r="H180" s="2" t="s">
        <v>78</v>
      </c>
      <c r="I180" s="2" t="n">
        <v>26</v>
      </c>
      <c r="J180" s="2" t="str">
        <f aca="false">IFERROR(VLOOKUP($C180,merchants!$A$2:$D$41,2,FALSE()),"Merchant not found")</f>
        <v>Merchant_037</v>
      </c>
      <c r="K180" s="2" t="str">
        <f aca="false">IFERROR(VLOOKUP($C180,merchants!$A$2:$D$41,3,FALSE()),"Merchant not found")</f>
        <v>entertainment</v>
      </c>
      <c r="L180" s="2" t="str">
        <f aca="false">IFERROR(VLOOKUP($C180,merchants!$A$2:$D$41,4,FALSE()),"Merchant not found")</f>
        <v>South</v>
      </c>
      <c r="M180" s="2" t="n">
        <f aca="false">SUMIFS($F$2:$F$548,$C$2:$C$548,C180,$E$2:$E$548,E180)</f>
        <v>2999</v>
      </c>
      <c r="N180" s="2" t="str">
        <f aca="false">IF(AND(M180&gt;5000,L180&lt;&gt;"East"),"High-Value Merchant Day","No")</f>
        <v>No</v>
      </c>
    </row>
    <row r="181" customFormat="false" ht="15" hidden="false" customHeight="false" outlineLevel="0" collapsed="false">
      <c r="A181" s="2" t="s">
        <v>259</v>
      </c>
      <c r="B181" s="2" t="n">
        <v>301</v>
      </c>
      <c r="C181" s="2" t="n">
        <v>14</v>
      </c>
      <c r="D181" s="9" t="n">
        <v>46025.7173611111</v>
      </c>
      <c r="E181" s="10" t="n">
        <f aca="false">INT(D181)</f>
        <v>46025</v>
      </c>
      <c r="F181" s="2" t="n">
        <v>149</v>
      </c>
      <c r="G181" s="2" t="s">
        <v>56</v>
      </c>
      <c r="H181" s="2" t="s">
        <v>78</v>
      </c>
      <c r="I181" s="2" t="n">
        <v>29</v>
      </c>
      <c r="J181" s="2" t="str">
        <f aca="false">IFERROR(VLOOKUP($C181,merchants!$A$2:$D$41,2,FALSE()),"Merchant not found")</f>
        <v>Merchant_014</v>
      </c>
      <c r="K181" s="2" t="str">
        <f aca="false">IFERROR(VLOOKUP($C181,merchants!$A$2:$D$41,3,FALSE()),"Merchant not found")</f>
        <v>grocery</v>
      </c>
      <c r="L181" s="2" t="str">
        <f aca="false">IFERROR(VLOOKUP($C181,merchants!$A$2:$D$41,4,FALSE()),"Merchant not found")</f>
        <v>East</v>
      </c>
      <c r="M181" s="2" t="n">
        <f aca="false">SUMIFS($F$2:$F$548,$C$2:$C$548,C181,$E$2:$E$548,E181)</f>
        <v>149</v>
      </c>
      <c r="N181" s="2" t="str">
        <f aca="false">IF(AND(M181&gt;5000,L181&lt;&gt;"East"),"High-Value Merchant Day","No")</f>
        <v>No</v>
      </c>
    </row>
    <row r="182" customFormat="false" ht="15" hidden="false" customHeight="false" outlineLevel="0" collapsed="false">
      <c r="A182" s="2" t="s">
        <v>260</v>
      </c>
      <c r="B182" s="2" t="n">
        <v>306</v>
      </c>
      <c r="C182" s="2" t="n">
        <v>1</v>
      </c>
      <c r="D182" s="9" t="n">
        <v>46033.2013888889</v>
      </c>
      <c r="E182" s="10" t="n">
        <f aca="false">INT(D182)</f>
        <v>46033</v>
      </c>
      <c r="F182" s="2" t="n">
        <v>299</v>
      </c>
      <c r="G182" s="2" t="s">
        <v>56</v>
      </c>
      <c r="H182" s="2" t="s">
        <v>90</v>
      </c>
      <c r="I182" s="2" t="n">
        <v>35</v>
      </c>
      <c r="J182" s="2" t="str">
        <f aca="false">IFERROR(VLOOKUP($C182,merchants!$A$2:$D$41,2,FALSE()),"Merchant not found")</f>
        <v>Merchant_001</v>
      </c>
      <c r="K182" s="2" t="str">
        <f aca="false">IFERROR(VLOOKUP($C182,merchants!$A$2:$D$41,3,FALSE()),"Merchant not found")</f>
        <v>ecommerce</v>
      </c>
      <c r="L182" s="2" t="str">
        <f aca="false">IFERROR(VLOOKUP($C182,merchants!$A$2:$D$41,4,FALSE()),"Merchant not found")</f>
        <v>South</v>
      </c>
      <c r="M182" s="2" t="n">
        <f aca="false">SUMIFS($F$2:$F$548,$C$2:$C$548,C182,$E$2:$E$548,E182)</f>
        <v>299</v>
      </c>
      <c r="N182" s="2" t="str">
        <f aca="false">IF(AND(M182&gt;5000,L182&lt;&gt;"East"),"High-Value Merchant Day","No")</f>
        <v>No</v>
      </c>
    </row>
    <row r="183" customFormat="false" ht="15" hidden="false" customHeight="false" outlineLevel="0" collapsed="false">
      <c r="A183" s="2" t="s">
        <v>261</v>
      </c>
      <c r="B183" s="2" t="n">
        <v>277</v>
      </c>
      <c r="C183" s="2" t="n">
        <v>17</v>
      </c>
      <c r="D183" s="9" t="n">
        <v>46050.1722222222</v>
      </c>
      <c r="E183" s="10" t="n">
        <f aca="false">INT(D183)</f>
        <v>46050</v>
      </c>
      <c r="F183" s="2" t="n">
        <v>299</v>
      </c>
      <c r="G183" s="2" t="s">
        <v>56</v>
      </c>
      <c r="H183" s="2" t="s">
        <v>78</v>
      </c>
      <c r="I183" s="2" t="n">
        <v>22</v>
      </c>
      <c r="J183" s="2" t="str">
        <f aca="false">IFERROR(VLOOKUP($C183,merchants!$A$2:$D$41,2,FALSE()),"Merchant not found")</f>
        <v>Merchant_017</v>
      </c>
      <c r="K183" s="2" t="str">
        <f aca="false">IFERROR(VLOOKUP($C183,merchants!$A$2:$D$41,3,FALSE()),"Merchant not found")</f>
        <v>grocery</v>
      </c>
      <c r="L183" s="2" t="str">
        <f aca="false">IFERROR(VLOOKUP($C183,merchants!$A$2:$D$41,4,FALSE()),"Merchant not found")</f>
        <v>North</v>
      </c>
      <c r="M183" s="2" t="n">
        <f aca="false">SUMIFS($F$2:$F$548,$C$2:$C$548,C183,$E$2:$E$548,E183)</f>
        <v>299</v>
      </c>
      <c r="N183" s="2" t="str">
        <f aca="false">IF(AND(M183&gt;5000,L183&lt;&gt;"East"),"High-Value Merchant Day","No")</f>
        <v>No</v>
      </c>
    </row>
    <row r="184" customFormat="false" ht="15" hidden="false" customHeight="false" outlineLevel="0" collapsed="false">
      <c r="A184" s="2" t="s">
        <v>262</v>
      </c>
      <c r="B184" s="2" t="n">
        <v>14</v>
      </c>
      <c r="C184" s="2" t="n">
        <v>9</v>
      </c>
      <c r="D184" s="9" t="n">
        <v>46026.9131944445</v>
      </c>
      <c r="E184" s="10" t="n">
        <f aca="false">INT(D184)</f>
        <v>46026</v>
      </c>
      <c r="F184" s="2" t="n">
        <v>499</v>
      </c>
      <c r="G184" s="2" t="s">
        <v>56</v>
      </c>
      <c r="H184" s="2" t="s">
        <v>78</v>
      </c>
      <c r="I184" s="2" t="n">
        <v>1</v>
      </c>
      <c r="J184" s="2" t="str">
        <f aca="false">IFERROR(VLOOKUP($C184,merchants!$A$2:$D$41,2,FALSE()),"Merchant not found")</f>
        <v>Merchant_009</v>
      </c>
      <c r="K184" s="2" t="str">
        <f aca="false">IFERROR(VLOOKUP($C184,merchants!$A$2:$D$41,3,FALSE()),"Merchant not found")</f>
        <v>ecommerce</v>
      </c>
      <c r="L184" s="2" t="str">
        <f aca="false">IFERROR(VLOOKUP($C184,merchants!$A$2:$D$41,4,FALSE()),"Merchant not found")</f>
        <v>North</v>
      </c>
      <c r="M184" s="2" t="n">
        <f aca="false">SUMIFS($F$2:$F$548,$C$2:$C$548,C184,$E$2:$E$548,E184)</f>
        <v>499</v>
      </c>
      <c r="N184" s="2" t="str">
        <f aca="false">IF(AND(M184&gt;5000,L184&lt;&gt;"East"),"High-Value Merchant Day","No")</f>
        <v>No</v>
      </c>
    </row>
    <row r="185" customFormat="false" ht="15" hidden="false" customHeight="false" outlineLevel="0" collapsed="false">
      <c r="A185" s="2" t="s">
        <v>263</v>
      </c>
      <c r="B185" s="2" t="n">
        <v>166</v>
      </c>
      <c r="C185" s="2" t="n">
        <v>2</v>
      </c>
      <c r="D185" s="9" t="n">
        <v>46034.3173611111</v>
      </c>
      <c r="E185" s="10" t="n">
        <f aca="false">INT(D185)</f>
        <v>46034</v>
      </c>
      <c r="F185" s="2" t="n">
        <v>299</v>
      </c>
      <c r="G185" s="2" t="s">
        <v>58</v>
      </c>
      <c r="H185" s="2" t="s">
        <v>78</v>
      </c>
      <c r="I185" s="2" t="n">
        <v>22</v>
      </c>
      <c r="J185" s="2" t="str">
        <f aca="false">IFERROR(VLOOKUP($C185,merchants!$A$2:$D$41,2,FALSE()),"Merchant not found")</f>
        <v>Merchant_002</v>
      </c>
      <c r="K185" s="2" t="str">
        <f aca="false">IFERROR(VLOOKUP($C185,merchants!$A$2:$D$41,3,FALSE()),"Merchant not found")</f>
        <v>grocery</v>
      </c>
      <c r="L185" s="2" t="str">
        <f aca="false">IFERROR(VLOOKUP($C185,merchants!$A$2:$D$41,4,FALSE()),"Merchant not found")</f>
        <v>West</v>
      </c>
      <c r="M185" s="2" t="n">
        <f aca="false">SUMIFS($F$2:$F$548,$C$2:$C$548,C185,$E$2:$E$548,E185)</f>
        <v>348</v>
      </c>
      <c r="N185" s="2" t="str">
        <f aca="false">IF(AND(M185&gt;5000,L185&lt;&gt;"East"),"High-Value Merchant Day","No")</f>
        <v>No</v>
      </c>
    </row>
    <row r="186" customFormat="false" ht="15" hidden="false" customHeight="false" outlineLevel="0" collapsed="false">
      <c r="A186" s="2" t="s">
        <v>264</v>
      </c>
      <c r="B186" s="2" t="n">
        <v>216</v>
      </c>
      <c r="C186" s="2" t="n">
        <v>34</v>
      </c>
      <c r="D186" s="9" t="n">
        <v>46031.0472222222</v>
      </c>
      <c r="E186" s="10" t="n">
        <f aca="false">INT(D186)</f>
        <v>46031</v>
      </c>
      <c r="F186" s="2" t="n">
        <v>299</v>
      </c>
      <c r="G186" s="2" t="s">
        <v>58</v>
      </c>
      <c r="H186" s="2" t="s">
        <v>78</v>
      </c>
      <c r="I186" s="2" t="n">
        <v>14</v>
      </c>
      <c r="J186" s="2" t="str">
        <f aca="false">IFERROR(VLOOKUP($C186,merchants!$A$2:$D$41,2,FALSE()),"Merchant not found")</f>
        <v>Merchant_034</v>
      </c>
      <c r="K186" s="2" t="str">
        <f aca="false">IFERROR(VLOOKUP($C186,merchants!$A$2:$D$41,3,FALSE()),"Merchant not found")</f>
        <v>travel</v>
      </c>
      <c r="L186" s="2" t="str">
        <f aca="false">IFERROR(VLOOKUP($C186,merchants!$A$2:$D$41,4,FALSE()),"Merchant not found")</f>
        <v>South</v>
      </c>
      <c r="M186" s="2" t="n">
        <f aca="false">SUMIFS($F$2:$F$548,$C$2:$C$548,C186,$E$2:$E$548,E186)</f>
        <v>299</v>
      </c>
      <c r="N186" s="2" t="str">
        <f aca="false">IF(AND(M186&gt;5000,L186&lt;&gt;"East"),"High-Value Merchant Day","No")</f>
        <v>No</v>
      </c>
    </row>
    <row r="187" customFormat="false" ht="15" hidden="false" customHeight="false" outlineLevel="0" collapsed="false">
      <c r="A187" s="2" t="s">
        <v>265</v>
      </c>
      <c r="B187" s="2" t="n">
        <v>230</v>
      </c>
      <c r="C187" s="2" t="n">
        <v>24</v>
      </c>
      <c r="D187" s="9" t="n">
        <v>46046.1041666667</v>
      </c>
      <c r="E187" s="10" t="n">
        <f aca="false">INT(D187)</f>
        <v>46046</v>
      </c>
      <c r="F187" s="2" t="n">
        <v>49</v>
      </c>
      <c r="G187" s="2" t="s">
        <v>56</v>
      </c>
      <c r="H187" s="2" t="s">
        <v>78</v>
      </c>
      <c r="I187" s="2" t="n">
        <v>65</v>
      </c>
      <c r="J187" s="2" t="str">
        <f aca="false">IFERROR(VLOOKUP($C187,merchants!$A$2:$D$41,2,FALSE()),"Merchant not found")</f>
        <v>Merchant_024</v>
      </c>
      <c r="K187" s="2" t="str">
        <f aca="false">IFERROR(VLOOKUP($C187,merchants!$A$2:$D$41,3,FALSE()),"Merchant not found")</f>
        <v>grocery</v>
      </c>
      <c r="L187" s="2" t="str">
        <f aca="false">IFERROR(VLOOKUP($C187,merchants!$A$2:$D$41,4,FALSE()),"Merchant not found")</f>
        <v>North</v>
      </c>
      <c r="M187" s="2" t="n">
        <f aca="false">SUMIFS($F$2:$F$548,$C$2:$C$548,C187,$E$2:$E$548,E187)</f>
        <v>148</v>
      </c>
      <c r="N187" s="2" t="str">
        <f aca="false">IF(AND(M187&gt;5000,L187&lt;&gt;"East"),"High-Value Merchant Day","No")</f>
        <v>No</v>
      </c>
    </row>
    <row r="188" customFormat="false" ht="15" hidden="false" customHeight="false" outlineLevel="0" collapsed="false">
      <c r="A188" s="2" t="s">
        <v>266</v>
      </c>
      <c r="B188" s="2" t="n">
        <v>258</v>
      </c>
      <c r="C188" s="2" t="n">
        <v>15</v>
      </c>
      <c r="D188" s="9" t="n">
        <v>46041.1444444444</v>
      </c>
      <c r="E188" s="10" t="n">
        <f aca="false">INT(D188)</f>
        <v>46041</v>
      </c>
      <c r="F188" s="2" t="n">
        <v>499</v>
      </c>
      <c r="G188" s="2" t="s">
        <v>57</v>
      </c>
      <c r="H188" s="2" t="s">
        <v>78</v>
      </c>
      <c r="I188" s="2" t="n">
        <v>78</v>
      </c>
      <c r="J188" s="2" t="str">
        <f aca="false">IFERROR(VLOOKUP($C188,merchants!$A$2:$D$41,2,FALSE()),"Merchant not found")</f>
        <v>Merchant_015</v>
      </c>
      <c r="K188" s="2" t="str">
        <f aca="false">IFERROR(VLOOKUP($C188,merchants!$A$2:$D$41,3,FALSE()),"Merchant not found")</f>
        <v>travel</v>
      </c>
      <c r="L188" s="2" t="str">
        <f aca="false">IFERROR(VLOOKUP($C188,merchants!$A$2:$D$41,4,FALSE()),"Merchant not found")</f>
        <v>North</v>
      </c>
      <c r="M188" s="2" t="n">
        <f aca="false">SUMIFS($F$2:$F$548,$C$2:$C$548,C188,$E$2:$E$548,E188)</f>
        <v>499</v>
      </c>
      <c r="N188" s="2" t="str">
        <f aca="false">IF(AND(M188&gt;5000,L188&lt;&gt;"East"),"High-Value Merchant Day","No")</f>
        <v>No</v>
      </c>
    </row>
    <row r="189" customFormat="false" ht="15" hidden="false" customHeight="false" outlineLevel="0" collapsed="false">
      <c r="A189" s="2" t="s">
        <v>267</v>
      </c>
      <c r="B189" s="2" t="n">
        <v>338</v>
      </c>
      <c r="C189" s="2" t="n">
        <v>34</v>
      </c>
      <c r="D189" s="9" t="n">
        <v>46024.9930555556</v>
      </c>
      <c r="E189" s="10" t="n">
        <f aca="false">INT(D189)</f>
        <v>46024</v>
      </c>
      <c r="F189" s="2" t="n">
        <v>49</v>
      </c>
      <c r="G189" s="2" t="s">
        <v>56</v>
      </c>
      <c r="H189" s="2" t="s">
        <v>78</v>
      </c>
      <c r="I189" s="2" t="n">
        <v>38</v>
      </c>
      <c r="J189" s="2" t="str">
        <f aca="false">IFERROR(VLOOKUP($C189,merchants!$A$2:$D$41,2,FALSE()),"Merchant not found")</f>
        <v>Merchant_034</v>
      </c>
      <c r="K189" s="2" t="str">
        <f aca="false">IFERROR(VLOOKUP($C189,merchants!$A$2:$D$41,3,FALSE()),"Merchant not found")</f>
        <v>travel</v>
      </c>
      <c r="L189" s="2" t="str">
        <f aca="false">IFERROR(VLOOKUP($C189,merchants!$A$2:$D$41,4,FALSE()),"Merchant not found")</f>
        <v>South</v>
      </c>
      <c r="M189" s="2" t="n">
        <f aca="false">SUMIFS($F$2:$F$548,$C$2:$C$548,C189,$E$2:$E$548,E189)</f>
        <v>548</v>
      </c>
      <c r="N189" s="2" t="str">
        <f aca="false">IF(AND(M189&gt;5000,L189&lt;&gt;"East"),"High-Value Merchant Day","No")</f>
        <v>No</v>
      </c>
    </row>
    <row r="190" customFormat="false" ht="15" hidden="false" customHeight="false" outlineLevel="0" collapsed="false">
      <c r="A190" s="2" t="s">
        <v>268</v>
      </c>
      <c r="B190" s="2" t="n">
        <v>32</v>
      </c>
      <c r="C190" s="2" t="n">
        <v>31</v>
      </c>
      <c r="D190" s="9" t="n">
        <v>46037.8340277778</v>
      </c>
      <c r="E190" s="10" t="n">
        <f aca="false">INT(D190)</f>
        <v>46037</v>
      </c>
      <c r="F190" s="2" t="n">
        <v>299</v>
      </c>
      <c r="G190" s="2" t="s">
        <v>56</v>
      </c>
      <c r="H190" s="2" t="s">
        <v>78</v>
      </c>
      <c r="I190" s="2" t="n">
        <v>51</v>
      </c>
      <c r="J190" s="2" t="str">
        <f aca="false">IFERROR(VLOOKUP($C190,merchants!$A$2:$D$41,2,FALSE()),"Merchant not found")</f>
        <v>Merchant_031</v>
      </c>
      <c r="K190" s="2" t="str">
        <f aca="false">IFERROR(VLOOKUP($C190,merchants!$A$2:$D$41,3,FALSE()),"Merchant not found")</f>
        <v>bill_payment</v>
      </c>
      <c r="L190" s="2" t="str">
        <f aca="false">IFERROR(VLOOKUP($C190,merchants!$A$2:$D$41,4,FALSE()),"Merchant not found")</f>
        <v>East</v>
      </c>
      <c r="M190" s="2" t="n">
        <f aca="false">SUMIFS($F$2:$F$548,$C$2:$C$548,C190,$E$2:$E$548,E190)</f>
        <v>299</v>
      </c>
      <c r="N190" s="2" t="str">
        <f aca="false">IF(AND(M190&gt;5000,L190&lt;&gt;"East"),"High-Value Merchant Day","No")</f>
        <v>No</v>
      </c>
    </row>
    <row r="191" customFormat="false" ht="15" hidden="false" customHeight="false" outlineLevel="0" collapsed="false">
      <c r="A191" s="2" t="s">
        <v>269</v>
      </c>
      <c r="B191" s="2" t="n">
        <v>252</v>
      </c>
      <c r="C191" s="2" t="n">
        <v>29</v>
      </c>
      <c r="D191" s="9" t="n">
        <v>46036.8791666667</v>
      </c>
      <c r="E191" s="10" t="n">
        <f aca="false">INT(D191)</f>
        <v>46036</v>
      </c>
      <c r="F191" s="2" t="n">
        <v>1499</v>
      </c>
      <c r="G191" s="2" t="s">
        <v>56</v>
      </c>
      <c r="H191" s="2" t="s">
        <v>78</v>
      </c>
      <c r="I191" s="2" t="n">
        <v>9</v>
      </c>
      <c r="J191" s="2" t="str">
        <f aca="false">IFERROR(VLOOKUP($C191,merchants!$A$2:$D$41,2,FALSE()),"Merchant not found")</f>
        <v>Merchant_029</v>
      </c>
      <c r="K191" s="2" t="str">
        <f aca="false">IFERROR(VLOOKUP($C191,merchants!$A$2:$D$41,3,FALSE()),"Merchant not found")</f>
        <v>ecommerce</v>
      </c>
      <c r="L191" s="2" t="str">
        <f aca="false">IFERROR(VLOOKUP($C191,merchants!$A$2:$D$41,4,FALSE()),"Merchant not found")</f>
        <v>North</v>
      </c>
      <c r="M191" s="2" t="n">
        <f aca="false">SUMIFS($F$2:$F$548,$C$2:$C$548,C191,$E$2:$E$548,E191)</f>
        <v>1998</v>
      </c>
      <c r="N191" s="2" t="str">
        <f aca="false">IF(AND(M191&gt;5000,L191&lt;&gt;"East"),"High-Value Merchant Day","No")</f>
        <v>No</v>
      </c>
    </row>
    <row r="192" customFormat="false" ht="15" hidden="false" customHeight="false" outlineLevel="0" collapsed="false">
      <c r="A192" s="2" t="s">
        <v>270</v>
      </c>
      <c r="B192" s="2" t="n">
        <v>312</v>
      </c>
      <c r="C192" s="2" t="n">
        <v>10</v>
      </c>
      <c r="D192" s="9" t="n">
        <v>46051.0972222222</v>
      </c>
      <c r="E192" s="10" t="n">
        <f aca="false">INT(D192)</f>
        <v>46051</v>
      </c>
      <c r="F192" s="2" t="n">
        <v>799</v>
      </c>
      <c r="G192" s="2" t="s">
        <v>56</v>
      </c>
      <c r="H192" s="2" t="s">
        <v>78</v>
      </c>
      <c r="I192" s="2" t="n">
        <v>8</v>
      </c>
      <c r="J192" s="2" t="str">
        <f aca="false">IFERROR(VLOOKUP($C192,merchants!$A$2:$D$41,2,FALSE()),"Merchant not found")</f>
        <v>Merchant_010</v>
      </c>
      <c r="K192" s="2" t="str">
        <f aca="false">IFERROR(VLOOKUP($C192,merchants!$A$2:$D$41,3,FALSE()),"Merchant not found")</f>
        <v>grocery</v>
      </c>
      <c r="L192" s="2" t="str">
        <f aca="false">IFERROR(VLOOKUP($C192,merchants!$A$2:$D$41,4,FALSE()),"Merchant not found")</f>
        <v>West</v>
      </c>
      <c r="M192" s="2" t="n">
        <f aca="false">SUMIFS($F$2:$F$548,$C$2:$C$548,C192,$E$2:$E$548,E192)</f>
        <v>799</v>
      </c>
      <c r="N192" s="2" t="str">
        <f aca="false">IF(AND(M192&gt;5000,L192&lt;&gt;"East"),"High-Value Merchant Day","No")</f>
        <v>No</v>
      </c>
    </row>
    <row r="193" customFormat="false" ht="15" hidden="false" customHeight="false" outlineLevel="0" collapsed="false">
      <c r="A193" s="2" t="s">
        <v>271</v>
      </c>
      <c r="B193" s="2" t="n">
        <v>325</v>
      </c>
      <c r="C193" s="2" t="n">
        <v>38</v>
      </c>
      <c r="D193" s="9" t="n">
        <v>46027.3604166667</v>
      </c>
      <c r="E193" s="10" t="n">
        <f aca="false">INT(D193)</f>
        <v>46027</v>
      </c>
      <c r="F193" s="2" t="n">
        <v>1499</v>
      </c>
      <c r="G193" s="2" t="s">
        <v>59</v>
      </c>
      <c r="H193" s="2" t="s">
        <v>78</v>
      </c>
      <c r="I193" s="2" t="n">
        <v>70</v>
      </c>
      <c r="J193" s="2" t="str">
        <f aca="false">IFERROR(VLOOKUP($C193,merchants!$A$2:$D$41,2,FALSE()),"Merchant not found")</f>
        <v>Merchant_038</v>
      </c>
      <c r="K193" s="2" t="str">
        <f aca="false">IFERROR(VLOOKUP($C193,merchants!$A$2:$D$41,3,FALSE()),"Merchant not found")</f>
        <v>grocery</v>
      </c>
      <c r="L193" s="2" t="str">
        <f aca="false">IFERROR(VLOOKUP($C193,merchants!$A$2:$D$41,4,FALSE()),"Merchant not found")</f>
        <v>East</v>
      </c>
      <c r="M193" s="2" t="n">
        <f aca="false">SUMIFS($F$2:$F$548,$C$2:$C$548,C193,$E$2:$E$548,E193)</f>
        <v>1499</v>
      </c>
      <c r="N193" s="2" t="str">
        <f aca="false">IF(AND(M193&gt;5000,L193&lt;&gt;"East"),"High-Value Merchant Day","No")</f>
        <v>No</v>
      </c>
    </row>
    <row r="194" customFormat="false" ht="15" hidden="false" customHeight="false" outlineLevel="0" collapsed="false">
      <c r="A194" s="2" t="s">
        <v>272</v>
      </c>
      <c r="B194" s="2" t="n">
        <v>306</v>
      </c>
      <c r="C194" s="2" t="n">
        <v>34</v>
      </c>
      <c r="D194" s="9" t="n">
        <v>46045.4333333333</v>
      </c>
      <c r="E194" s="10" t="n">
        <f aca="false">INT(D194)</f>
        <v>46045</v>
      </c>
      <c r="F194" s="2" t="n">
        <v>2999</v>
      </c>
      <c r="G194" s="2" t="s">
        <v>56</v>
      </c>
      <c r="H194" s="2" t="s">
        <v>78</v>
      </c>
      <c r="I194" s="2" t="n">
        <v>37</v>
      </c>
      <c r="J194" s="2" t="str">
        <f aca="false">IFERROR(VLOOKUP($C194,merchants!$A$2:$D$41,2,FALSE()),"Merchant not found")</f>
        <v>Merchant_034</v>
      </c>
      <c r="K194" s="2" t="str">
        <f aca="false">IFERROR(VLOOKUP($C194,merchants!$A$2:$D$41,3,FALSE()),"Merchant not found")</f>
        <v>travel</v>
      </c>
      <c r="L194" s="2" t="str">
        <f aca="false">IFERROR(VLOOKUP($C194,merchants!$A$2:$D$41,4,FALSE()),"Merchant not found")</f>
        <v>South</v>
      </c>
      <c r="M194" s="2" t="n">
        <f aca="false">SUMIFS($F$2:$F$548,$C$2:$C$548,C194,$E$2:$E$548,E194)</f>
        <v>3148</v>
      </c>
      <c r="N194" s="2" t="str">
        <f aca="false">IF(AND(M194&gt;5000,L194&lt;&gt;"East"),"High-Value Merchant Day","No")</f>
        <v>No</v>
      </c>
    </row>
    <row r="195" customFormat="false" ht="15" hidden="false" customHeight="false" outlineLevel="0" collapsed="false">
      <c r="A195" s="2" t="s">
        <v>273</v>
      </c>
      <c r="B195" s="2" t="n">
        <v>221</v>
      </c>
      <c r="C195" s="2" t="n">
        <v>7</v>
      </c>
      <c r="D195" s="9" t="n">
        <v>46037.6930555556</v>
      </c>
      <c r="E195" s="10" t="n">
        <f aca="false">INT(D195)</f>
        <v>46037</v>
      </c>
      <c r="F195" s="2" t="n">
        <v>149</v>
      </c>
      <c r="G195" s="2" t="s">
        <v>59</v>
      </c>
      <c r="H195" s="2" t="s">
        <v>78</v>
      </c>
      <c r="I195" s="2" t="n">
        <v>89</v>
      </c>
      <c r="J195" s="2" t="str">
        <f aca="false">IFERROR(VLOOKUP($C195,merchants!$A$2:$D$41,2,FALSE()),"Merchant not found")</f>
        <v>Merchant_007</v>
      </c>
      <c r="K195" s="2" t="str">
        <f aca="false">IFERROR(VLOOKUP($C195,merchants!$A$2:$D$41,3,FALSE()),"Merchant not found")</f>
        <v>food_delivery</v>
      </c>
      <c r="L195" s="2" t="str">
        <f aca="false">IFERROR(VLOOKUP($C195,merchants!$A$2:$D$41,4,FALSE()),"Merchant not found")</f>
        <v>East</v>
      </c>
      <c r="M195" s="2" t="n">
        <f aca="false">SUMIFS($F$2:$F$548,$C$2:$C$548,C195,$E$2:$E$548,E195)</f>
        <v>1648</v>
      </c>
      <c r="N195" s="2" t="str">
        <f aca="false">IF(AND(M195&gt;5000,L195&lt;&gt;"East"),"High-Value Merchant Day","No")</f>
        <v>No</v>
      </c>
    </row>
    <row r="196" customFormat="false" ht="15" hidden="false" customHeight="false" outlineLevel="0" collapsed="false">
      <c r="A196" s="2" t="s">
        <v>274</v>
      </c>
      <c r="B196" s="2" t="n">
        <v>283</v>
      </c>
      <c r="C196" s="2" t="n">
        <v>14</v>
      </c>
      <c r="D196" s="9" t="n">
        <v>46026.8618055556</v>
      </c>
      <c r="E196" s="10" t="n">
        <f aca="false">INT(D196)</f>
        <v>46026</v>
      </c>
      <c r="F196" s="2" t="n">
        <v>99</v>
      </c>
      <c r="G196" s="2" t="s">
        <v>57</v>
      </c>
      <c r="H196" s="2" t="s">
        <v>78</v>
      </c>
      <c r="I196" s="2" t="n">
        <v>55</v>
      </c>
      <c r="J196" s="2" t="str">
        <f aca="false">IFERROR(VLOOKUP($C196,merchants!$A$2:$D$41,2,FALSE()),"Merchant not found")</f>
        <v>Merchant_014</v>
      </c>
      <c r="K196" s="2" t="str">
        <f aca="false">IFERROR(VLOOKUP($C196,merchants!$A$2:$D$41,3,FALSE()),"Merchant not found")</f>
        <v>grocery</v>
      </c>
      <c r="L196" s="2" t="str">
        <f aca="false">IFERROR(VLOOKUP($C196,merchants!$A$2:$D$41,4,FALSE()),"Merchant not found")</f>
        <v>East</v>
      </c>
      <c r="M196" s="2" t="n">
        <f aca="false">SUMIFS($F$2:$F$548,$C$2:$C$548,C196,$E$2:$E$548,E196)</f>
        <v>99</v>
      </c>
      <c r="N196" s="2" t="str">
        <f aca="false">IF(AND(M196&gt;5000,L196&lt;&gt;"East"),"High-Value Merchant Day","No")</f>
        <v>No</v>
      </c>
    </row>
    <row r="197" customFormat="false" ht="15" hidden="false" customHeight="false" outlineLevel="0" collapsed="false">
      <c r="A197" s="2" t="s">
        <v>275</v>
      </c>
      <c r="B197" s="2" t="n">
        <v>174</v>
      </c>
      <c r="C197" s="2" t="n">
        <v>30</v>
      </c>
      <c r="D197" s="9" t="n">
        <v>46037.3097222222</v>
      </c>
      <c r="E197" s="10" t="n">
        <f aca="false">INT(D197)</f>
        <v>46037</v>
      </c>
      <c r="F197" s="2" t="n">
        <v>49</v>
      </c>
      <c r="G197" s="2" t="s">
        <v>56</v>
      </c>
      <c r="H197" s="2" t="s">
        <v>78</v>
      </c>
      <c r="I197" s="2" t="n">
        <v>51</v>
      </c>
      <c r="J197" s="2" t="str">
        <f aca="false">IFERROR(VLOOKUP($C197,merchants!$A$2:$D$41,2,FALSE()),"Merchant not found")</f>
        <v>Merchant_030</v>
      </c>
      <c r="K197" s="2" t="str">
        <f aca="false">IFERROR(VLOOKUP($C197,merchants!$A$2:$D$41,3,FALSE()),"Merchant not found")</f>
        <v>travel</v>
      </c>
      <c r="L197" s="2" t="str">
        <f aca="false">IFERROR(VLOOKUP($C197,merchants!$A$2:$D$41,4,FALSE()),"Merchant not found")</f>
        <v>West</v>
      </c>
      <c r="M197" s="2" t="n">
        <f aca="false">SUMIFS($F$2:$F$548,$C$2:$C$548,C197,$E$2:$E$548,E197)</f>
        <v>49</v>
      </c>
      <c r="N197" s="2" t="str">
        <f aca="false">IF(AND(M197&gt;5000,L197&lt;&gt;"East"),"High-Value Merchant Day","No")</f>
        <v>No</v>
      </c>
    </row>
    <row r="198" customFormat="false" ht="15" hidden="false" customHeight="false" outlineLevel="0" collapsed="false">
      <c r="A198" s="2" t="s">
        <v>276</v>
      </c>
      <c r="B198" s="2" t="n">
        <v>161</v>
      </c>
      <c r="C198" s="2" t="n">
        <v>28</v>
      </c>
      <c r="D198" s="9" t="n">
        <v>46036.9625</v>
      </c>
      <c r="E198" s="10" t="n">
        <f aca="false">INT(D198)</f>
        <v>46036</v>
      </c>
      <c r="F198" s="2" t="n">
        <v>49</v>
      </c>
      <c r="G198" s="2" t="s">
        <v>56</v>
      </c>
      <c r="H198" s="2" t="s">
        <v>78</v>
      </c>
      <c r="I198" s="2" t="n">
        <v>40</v>
      </c>
      <c r="J198" s="2" t="str">
        <f aca="false">IFERROR(VLOOKUP($C198,merchants!$A$2:$D$41,2,FALSE()),"Merchant not found")</f>
        <v>Merchant_028</v>
      </c>
      <c r="K198" s="2" t="str">
        <f aca="false">IFERROR(VLOOKUP($C198,merchants!$A$2:$D$41,3,FALSE()),"Merchant not found")</f>
        <v>ecommerce</v>
      </c>
      <c r="L198" s="2" t="str">
        <f aca="false">IFERROR(VLOOKUP($C198,merchants!$A$2:$D$41,4,FALSE()),"Merchant not found")</f>
        <v>South</v>
      </c>
      <c r="M198" s="2" t="n">
        <f aca="false">SUMIFS($F$2:$F$548,$C$2:$C$548,C198,$E$2:$E$548,E198)</f>
        <v>49</v>
      </c>
      <c r="N198" s="2" t="str">
        <f aca="false">IF(AND(M198&gt;5000,L198&lt;&gt;"East"),"High-Value Merchant Day","No")</f>
        <v>No</v>
      </c>
    </row>
    <row r="199" customFormat="false" ht="15" hidden="false" customHeight="false" outlineLevel="0" collapsed="false">
      <c r="A199" s="2" t="s">
        <v>277</v>
      </c>
      <c r="B199" s="2" t="n">
        <v>79</v>
      </c>
      <c r="C199" s="2" t="n">
        <v>31</v>
      </c>
      <c r="D199" s="9" t="n">
        <v>46044.3493055556</v>
      </c>
      <c r="E199" s="10" t="n">
        <f aca="false">INT(D199)</f>
        <v>46044</v>
      </c>
      <c r="F199" s="2" t="n">
        <v>99</v>
      </c>
      <c r="G199" s="2" t="s">
        <v>56</v>
      </c>
      <c r="H199" s="2" t="s">
        <v>78</v>
      </c>
      <c r="I199" s="2" t="n">
        <v>8</v>
      </c>
      <c r="J199" s="2" t="str">
        <f aca="false">IFERROR(VLOOKUP($C199,merchants!$A$2:$D$41,2,FALSE()),"Merchant not found")</f>
        <v>Merchant_031</v>
      </c>
      <c r="K199" s="2" t="str">
        <f aca="false">IFERROR(VLOOKUP($C199,merchants!$A$2:$D$41,3,FALSE()),"Merchant not found")</f>
        <v>bill_payment</v>
      </c>
      <c r="L199" s="2" t="str">
        <f aca="false">IFERROR(VLOOKUP($C199,merchants!$A$2:$D$41,4,FALSE()),"Merchant not found")</f>
        <v>East</v>
      </c>
      <c r="M199" s="2" t="n">
        <f aca="false">SUMIFS($F$2:$F$548,$C$2:$C$548,C199,$E$2:$E$548,E199)</f>
        <v>99</v>
      </c>
      <c r="N199" s="2" t="str">
        <f aca="false">IF(AND(M199&gt;5000,L199&lt;&gt;"East"),"High-Value Merchant Day","No")</f>
        <v>No</v>
      </c>
    </row>
    <row r="200" customFormat="false" ht="15" hidden="false" customHeight="false" outlineLevel="0" collapsed="false">
      <c r="A200" s="2" t="s">
        <v>278</v>
      </c>
      <c r="B200" s="2" t="n">
        <v>222</v>
      </c>
      <c r="C200" s="2" t="n">
        <v>7</v>
      </c>
      <c r="D200" s="9" t="n">
        <v>46025.0868055556</v>
      </c>
      <c r="E200" s="10" t="n">
        <f aca="false">INT(D200)</f>
        <v>46025</v>
      </c>
      <c r="F200" s="2" t="n">
        <v>149</v>
      </c>
      <c r="G200" s="2" t="s">
        <v>57</v>
      </c>
      <c r="H200" s="2" t="s">
        <v>78</v>
      </c>
      <c r="I200" s="2" t="n">
        <v>95</v>
      </c>
      <c r="J200" s="2" t="str">
        <f aca="false">IFERROR(VLOOKUP($C200,merchants!$A$2:$D$41,2,FALSE()),"Merchant not found")</f>
        <v>Merchant_007</v>
      </c>
      <c r="K200" s="2" t="str">
        <f aca="false">IFERROR(VLOOKUP($C200,merchants!$A$2:$D$41,3,FALSE()),"Merchant not found")</f>
        <v>food_delivery</v>
      </c>
      <c r="L200" s="2" t="str">
        <f aca="false">IFERROR(VLOOKUP($C200,merchants!$A$2:$D$41,4,FALSE()),"Merchant not found")</f>
        <v>East</v>
      </c>
      <c r="M200" s="2" t="n">
        <f aca="false">SUMIFS($F$2:$F$548,$C$2:$C$548,C200,$E$2:$E$548,E200)</f>
        <v>149</v>
      </c>
      <c r="N200" s="2" t="str">
        <f aca="false">IF(AND(M200&gt;5000,L200&lt;&gt;"East"),"High-Value Merchant Day","No")</f>
        <v>No</v>
      </c>
    </row>
    <row r="201" customFormat="false" ht="15" hidden="false" customHeight="false" outlineLevel="0" collapsed="false">
      <c r="A201" s="2" t="s">
        <v>279</v>
      </c>
      <c r="B201" s="2" t="n">
        <v>67</v>
      </c>
      <c r="C201" s="2" t="n">
        <v>36</v>
      </c>
      <c r="D201" s="9" t="n">
        <v>46046.49375</v>
      </c>
      <c r="E201" s="10" t="n">
        <f aca="false">INT(D201)</f>
        <v>46046</v>
      </c>
      <c r="F201" s="2" t="n">
        <v>99</v>
      </c>
      <c r="G201" s="2" t="s">
        <v>56</v>
      </c>
      <c r="H201" s="2" t="s">
        <v>78</v>
      </c>
      <c r="I201" s="2" t="n">
        <v>7</v>
      </c>
      <c r="J201" s="2" t="str">
        <f aca="false">IFERROR(VLOOKUP($C201,merchants!$A$2:$D$41,2,FALSE()),"Merchant not found")</f>
        <v>Merchant_036</v>
      </c>
      <c r="K201" s="2" t="str">
        <f aca="false">IFERROR(VLOOKUP($C201,merchants!$A$2:$D$41,3,FALSE()),"Merchant not found")</f>
        <v>entertainment</v>
      </c>
      <c r="L201" s="2" t="str">
        <f aca="false">IFERROR(VLOOKUP($C201,merchants!$A$2:$D$41,4,FALSE()),"Merchant not found")</f>
        <v>East</v>
      </c>
      <c r="M201" s="2" t="n">
        <f aca="false">SUMIFS($F$2:$F$548,$C$2:$C$548,C201,$E$2:$E$548,E201)</f>
        <v>1647</v>
      </c>
      <c r="N201" s="2" t="str">
        <f aca="false">IF(AND(M201&gt;5000,L201&lt;&gt;"East"),"High-Value Merchant Day","No")</f>
        <v>No</v>
      </c>
    </row>
    <row r="202" customFormat="false" ht="15" hidden="false" customHeight="false" outlineLevel="0" collapsed="false">
      <c r="A202" s="2" t="s">
        <v>280</v>
      </c>
      <c r="B202" s="2" t="n">
        <v>169</v>
      </c>
      <c r="C202" s="2" t="n">
        <v>8</v>
      </c>
      <c r="D202" s="9" t="n">
        <v>46041.7326388889</v>
      </c>
      <c r="E202" s="10" t="n">
        <f aca="false">INT(D202)</f>
        <v>46041</v>
      </c>
      <c r="F202" s="2" t="n">
        <v>99</v>
      </c>
      <c r="G202" s="2" t="s">
        <v>56</v>
      </c>
      <c r="H202" s="2" t="s">
        <v>78</v>
      </c>
      <c r="I202" s="2" t="n">
        <v>52</v>
      </c>
      <c r="J202" s="2" t="str">
        <f aca="false">IFERROR(VLOOKUP($C202,merchants!$A$2:$D$41,2,FALSE()),"Merchant not found")</f>
        <v>Merchant_008</v>
      </c>
      <c r="K202" s="2" t="str">
        <f aca="false">IFERROR(VLOOKUP($C202,merchants!$A$2:$D$41,3,FALSE()),"Merchant not found")</f>
        <v>food_delivery</v>
      </c>
      <c r="L202" s="2" t="str">
        <f aca="false">IFERROR(VLOOKUP($C202,merchants!$A$2:$D$41,4,FALSE()),"Merchant not found")</f>
        <v>North</v>
      </c>
      <c r="M202" s="2" t="n">
        <f aca="false">SUMIFS($F$2:$F$548,$C$2:$C$548,C202,$E$2:$E$548,E202)</f>
        <v>99</v>
      </c>
      <c r="N202" s="2" t="str">
        <f aca="false">IF(AND(M202&gt;5000,L202&lt;&gt;"East"),"High-Value Merchant Day","No")</f>
        <v>No</v>
      </c>
    </row>
    <row r="203" customFormat="false" ht="15" hidden="false" customHeight="false" outlineLevel="0" collapsed="false">
      <c r="A203" s="2" t="s">
        <v>281</v>
      </c>
      <c r="B203" s="2" t="n">
        <v>217</v>
      </c>
      <c r="C203" s="2" t="n">
        <v>4</v>
      </c>
      <c r="D203" s="9" t="n">
        <v>46034.9083333333</v>
      </c>
      <c r="E203" s="10" t="n">
        <f aca="false">INT(D203)</f>
        <v>46034</v>
      </c>
      <c r="F203" s="2" t="n">
        <v>49</v>
      </c>
      <c r="G203" s="2" t="s">
        <v>56</v>
      </c>
      <c r="H203" s="2" t="s">
        <v>78</v>
      </c>
      <c r="I203" s="2" t="n">
        <v>36</v>
      </c>
      <c r="J203" s="2" t="str">
        <f aca="false">IFERROR(VLOOKUP($C203,merchants!$A$2:$D$41,2,FALSE()),"Merchant not found")</f>
        <v>Merchant_004</v>
      </c>
      <c r="K203" s="2" t="str">
        <f aca="false">IFERROR(VLOOKUP($C203,merchants!$A$2:$D$41,3,FALSE()),"Merchant not found")</f>
        <v>ecommerce</v>
      </c>
      <c r="L203" s="2" t="str">
        <f aca="false">IFERROR(VLOOKUP($C203,merchants!$A$2:$D$41,4,FALSE()),"Merchant not found")</f>
        <v>East</v>
      </c>
      <c r="M203" s="2" t="n">
        <f aca="false">SUMIFS($F$2:$F$548,$C$2:$C$548,C203,$E$2:$E$548,E203)</f>
        <v>49</v>
      </c>
      <c r="N203" s="2" t="str">
        <f aca="false">IF(AND(M203&gt;5000,L203&lt;&gt;"East"),"High-Value Merchant Day","No")</f>
        <v>No</v>
      </c>
    </row>
    <row r="204" customFormat="false" ht="15" hidden="false" customHeight="false" outlineLevel="0" collapsed="false">
      <c r="A204" s="2" t="s">
        <v>282</v>
      </c>
      <c r="B204" s="2" t="n">
        <v>54</v>
      </c>
      <c r="C204" s="2" t="n">
        <v>37</v>
      </c>
      <c r="D204" s="9" t="n">
        <v>46042.3902777778</v>
      </c>
      <c r="E204" s="10" t="n">
        <f aca="false">INT(D204)</f>
        <v>46042</v>
      </c>
      <c r="F204" s="2" t="n">
        <v>149</v>
      </c>
      <c r="G204" s="2" t="s">
        <v>56</v>
      </c>
      <c r="H204" s="2" t="s">
        <v>78</v>
      </c>
      <c r="I204" s="2" t="n">
        <v>64</v>
      </c>
      <c r="J204" s="2" t="str">
        <f aca="false">IFERROR(VLOOKUP($C204,merchants!$A$2:$D$41,2,FALSE()),"Merchant not found")</f>
        <v>Merchant_037</v>
      </c>
      <c r="K204" s="2" t="str">
        <f aca="false">IFERROR(VLOOKUP($C204,merchants!$A$2:$D$41,3,FALSE()),"Merchant not found")</f>
        <v>entertainment</v>
      </c>
      <c r="L204" s="2" t="str">
        <f aca="false">IFERROR(VLOOKUP($C204,merchants!$A$2:$D$41,4,FALSE()),"Merchant not found")</f>
        <v>South</v>
      </c>
      <c r="M204" s="2" t="n">
        <f aca="false">SUMIFS($F$2:$F$548,$C$2:$C$548,C204,$E$2:$E$548,E204)</f>
        <v>149</v>
      </c>
      <c r="N204" s="2" t="str">
        <f aca="false">IF(AND(M204&gt;5000,L204&lt;&gt;"East"),"High-Value Merchant Day","No")</f>
        <v>No</v>
      </c>
    </row>
    <row r="205" customFormat="false" ht="15" hidden="false" customHeight="false" outlineLevel="0" collapsed="false">
      <c r="A205" s="2" t="s">
        <v>283</v>
      </c>
      <c r="B205" s="2" t="n">
        <v>247</v>
      </c>
      <c r="C205" s="2" t="n">
        <v>15</v>
      </c>
      <c r="D205" s="9" t="n">
        <v>46029.1958333333</v>
      </c>
      <c r="E205" s="10" t="n">
        <f aca="false">INT(D205)</f>
        <v>46029</v>
      </c>
      <c r="F205" s="2" t="n">
        <v>49</v>
      </c>
      <c r="G205" s="2" t="s">
        <v>58</v>
      </c>
      <c r="H205" s="2" t="s">
        <v>78</v>
      </c>
      <c r="I205" s="2" t="n">
        <v>13</v>
      </c>
      <c r="J205" s="2" t="str">
        <f aca="false">IFERROR(VLOOKUP($C205,merchants!$A$2:$D$41,2,FALSE()),"Merchant not found")</f>
        <v>Merchant_015</v>
      </c>
      <c r="K205" s="2" t="str">
        <f aca="false">IFERROR(VLOOKUP($C205,merchants!$A$2:$D$41,3,FALSE()),"Merchant not found")</f>
        <v>travel</v>
      </c>
      <c r="L205" s="2" t="str">
        <f aca="false">IFERROR(VLOOKUP($C205,merchants!$A$2:$D$41,4,FALSE()),"Merchant not found")</f>
        <v>North</v>
      </c>
      <c r="M205" s="2" t="n">
        <f aca="false">SUMIFS($F$2:$F$548,$C$2:$C$548,C205,$E$2:$E$548,E205)</f>
        <v>49</v>
      </c>
      <c r="N205" s="2" t="str">
        <f aca="false">IF(AND(M205&gt;5000,L205&lt;&gt;"East"),"High-Value Merchant Day","No")</f>
        <v>No</v>
      </c>
    </row>
    <row r="206" customFormat="false" ht="15" hidden="false" customHeight="false" outlineLevel="0" collapsed="false">
      <c r="A206" s="2" t="s">
        <v>284</v>
      </c>
      <c r="B206" s="2" t="n">
        <v>59</v>
      </c>
      <c r="C206" s="2" t="n">
        <v>18</v>
      </c>
      <c r="D206" s="9" t="n">
        <v>46034.7243055556</v>
      </c>
      <c r="E206" s="10" t="n">
        <f aca="false">INT(D206)</f>
        <v>46034</v>
      </c>
      <c r="F206" s="2" t="n">
        <v>49</v>
      </c>
      <c r="G206" s="2" t="s">
        <v>58</v>
      </c>
      <c r="H206" s="2" t="s">
        <v>78</v>
      </c>
      <c r="I206" s="2" t="n">
        <v>73</v>
      </c>
      <c r="J206" s="2" t="str">
        <f aca="false">IFERROR(VLOOKUP($C206,merchants!$A$2:$D$41,2,FALSE()),"Merchant not found")</f>
        <v>Merchant_018</v>
      </c>
      <c r="K206" s="2" t="str">
        <f aca="false">IFERROR(VLOOKUP($C206,merchants!$A$2:$D$41,3,FALSE()),"Merchant not found")</f>
        <v>grocery</v>
      </c>
      <c r="L206" s="2" t="str">
        <f aca="false">IFERROR(VLOOKUP($C206,merchants!$A$2:$D$41,4,FALSE()),"Merchant not found")</f>
        <v>West</v>
      </c>
      <c r="M206" s="2" t="n">
        <f aca="false">SUMIFS($F$2:$F$548,$C$2:$C$548,C206,$E$2:$E$548,E206)</f>
        <v>49</v>
      </c>
      <c r="N206" s="2" t="str">
        <f aca="false">IF(AND(M206&gt;5000,L206&lt;&gt;"East"),"High-Value Merchant Day","No")</f>
        <v>No</v>
      </c>
    </row>
    <row r="207" customFormat="false" ht="15" hidden="false" customHeight="false" outlineLevel="0" collapsed="false">
      <c r="A207" s="2" t="s">
        <v>285</v>
      </c>
      <c r="B207" s="2" t="n">
        <v>288</v>
      </c>
      <c r="C207" s="2" t="n">
        <v>40</v>
      </c>
      <c r="D207" s="9" t="n">
        <v>46030.5791666667</v>
      </c>
      <c r="E207" s="10" t="n">
        <f aca="false">INT(D207)</f>
        <v>46030</v>
      </c>
      <c r="F207" s="2" t="n">
        <v>49</v>
      </c>
      <c r="G207" s="2" t="s">
        <v>56</v>
      </c>
      <c r="H207" s="2" t="s">
        <v>90</v>
      </c>
      <c r="I207" s="2" t="n">
        <v>78</v>
      </c>
      <c r="J207" s="2" t="str">
        <f aca="false">IFERROR(VLOOKUP($C207,merchants!$A$2:$D$41,2,FALSE()),"Merchant not found")</f>
        <v>Merchant_040</v>
      </c>
      <c r="K207" s="2" t="str">
        <f aca="false">IFERROR(VLOOKUP($C207,merchants!$A$2:$D$41,3,FALSE()),"Merchant not found")</f>
        <v>entertainment</v>
      </c>
      <c r="L207" s="2" t="str">
        <f aca="false">IFERROR(VLOOKUP($C207,merchants!$A$2:$D$41,4,FALSE()),"Merchant not found")</f>
        <v>South</v>
      </c>
      <c r="M207" s="2" t="n">
        <f aca="false">SUMIFS($F$2:$F$548,$C$2:$C$548,C207,$E$2:$E$548,E207)</f>
        <v>49</v>
      </c>
      <c r="N207" s="2" t="str">
        <f aca="false">IF(AND(M207&gt;5000,L207&lt;&gt;"East"),"High-Value Merchant Day","No")</f>
        <v>No</v>
      </c>
    </row>
    <row r="208" customFormat="false" ht="15" hidden="false" customHeight="false" outlineLevel="0" collapsed="false">
      <c r="A208" s="2" t="s">
        <v>286</v>
      </c>
      <c r="B208" s="2" t="n">
        <v>14</v>
      </c>
      <c r="C208" s="2" t="n">
        <v>39</v>
      </c>
      <c r="D208" s="9" t="n">
        <v>46044.8576388889</v>
      </c>
      <c r="E208" s="10" t="n">
        <f aca="false">INT(D208)</f>
        <v>46044</v>
      </c>
      <c r="F208" s="2" t="n">
        <v>799</v>
      </c>
      <c r="G208" s="2" t="s">
        <v>56</v>
      </c>
      <c r="H208" s="2" t="s">
        <v>78</v>
      </c>
      <c r="I208" s="2" t="n">
        <v>84</v>
      </c>
      <c r="J208" s="2" t="str">
        <f aca="false">IFERROR(VLOOKUP($C208,merchants!$A$2:$D$41,2,FALSE()),"Merchant not found")</f>
        <v>Merchant_039</v>
      </c>
      <c r="K208" s="2" t="str">
        <f aca="false">IFERROR(VLOOKUP($C208,merchants!$A$2:$D$41,3,FALSE()),"Merchant not found")</f>
        <v>entertainment</v>
      </c>
      <c r="L208" s="2" t="str">
        <f aca="false">IFERROR(VLOOKUP($C208,merchants!$A$2:$D$41,4,FALSE()),"Merchant not found")</f>
        <v>North</v>
      </c>
      <c r="M208" s="2" t="n">
        <f aca="false">SUMIFS($F$2:$F$548,$C$2:$C$548,C208,$E$2:$E$548,E208)</f>
        <v>9796</v>
      </c>
      <c r="N208" s="2" t="str">
        <f aca="false">IF(AND(M208&gt;5000,L208&lt;&gt;"East"),"High-Value Merchant Day","No")</f>
        <v>High-Value Merchant Day</v>
      </c>
    </row>
    <row r="209" customFormat="false" ht="15" hidden="false" customHeight="false" outlineLevel="0" collapsed="false">
      <c r="A209" s="2" t="s">
        <v>287</v>
      </c>
      <c r="B209" s="2" t="n">
        <v>15</v>
      </c>
      <c r="C209" s="2" t="n">
        <v>12</v>
      </c>
      <c r="D209" s="9" t="n">
        <v>46049.9284722222</v>
      </c>
      <c r="E209" s="10" t="n">
        <f aca="false">INT(D209)</f>
        <v>46049</v>
      </c>
      <c r="F209" s="2" t="n">
        <v>149</v>
      </c>
      <c r="G209" s="2" t="s">
        <v>56</v>
      </c>
      <c r="H209" s="2" t="s">
        <v>78</v>
      </c>
      <c r="I209" s="2" t="n">
        <v>34</v>
      </c>
      <c r="J209" s="2" t="str">
        <f aca="false">IFERROR(VLOOKUP($C209,merchants!$A$2:$D$41,2,FALSE()),"Merchant not found")</f>
        <v>Merchant_012</v>
      </c>
      <c r="K209" s="2" t="str">
        <f aca="false">IFERROR(VLOOKUP($C209,merchants!$A$2:$D$41,3,FALSE()),"Merchant not found")</f>
        <v>ecommerce</v>
      </c>
      <c r="L209" s="2" t="str">
        <f aca="false">IFERROR(VLOOKUP($C209,merchants!$A$2:$D$41,4,FALSE()),"Merchant not found")</f>
        <v>East</v>
      </c>
      <c r="M209" s="2" t="n">
        <f aca="false">SUMIFS($F$2:$F$548,$C$2:$C$548,C209,$E$2:$E$548,E209)</f>
        <v>149</v>
      </c>
      <c r="N209" s="2" t="str">
        <f aca="false">IF(AND(M209&gt;5000,L209&lt;&gt;"East"),"High-Value Merchant Day","No")</f>
        <v>No</v>
      </c>
    </row>
    <row r="210" customFormat="false" ht="15" hidden="false" customHeight="false" outlineLevel="0" collapsed="false">
      <c r="A210" s="2" t="s">
        <v>288</v>
      </c>
      <c r="B210" s="2" t="n">
        <v>174</v>
      </c>
      <c r="C210" s="2" t="n">
        <v>23</v>
      </c>
      <c r="D210" s="9" t="n">
        <v>46045.4152777778</v>
      </c>
      <c r="E210" s="10" t="n">
        <f aca="false">INT(D210)</f>
        <v>46045</v>
      </c>
      <c r="F210" s="2" t="n">
        <v>149</v>
      </c>
      <c r="G210" s="2" t="s">
        <v>56</v>
      </c>
      <c r="H210" s="2" t="s">
        <v>78</v>
      </c>
      <c r="I210" s="2" t="n">
        <v>0</v>
      </c>
      <c r="J210" s="2" t="str">
        <f aca="false">IFERROR(VLOOKUP($C210,merchants!$A$2:$D$41,2,FALSE()),"Merchant not found")</f>
        <v>Merchant_023</v>
      </c>
      <c r="K210" s="2" t="str">
        <f aca="false">IFERROR(VLOOKUP($C210,merchants!$A$2:$D$41,3,FALSE()),"Merchant not found")</f>
        <v>travel</v>
      </c>
      <c r="L210" s="2" t="str">
        <f aca="false">IFERROR(VLOOKUP($C210,merchants!$A$2:$D$41,4,FALSE()),"Merchant not found")</f>
        <v>North</v>
      </c>
      <c r="M210" s="2" t="n">
        <f aca="false">SUMIFS($F$2:$F$548,$C$2:$C$548,C210,$E$2:$E$548,E210)</f>
        <v>247</v>
      </c>
      <c r="N210" s="2" t="str">
        <f aca="false">IF(AND(M210&gt;5000,L210&lt;&gt;"East"),"High-Value Merchant Day","No")</f>
        <v>No</v>
      </c>
    </row>
    <row r="211" customFormat="false" ht="15" hidden="false" customHeight="false" outlineLevel="0" collapsed="false">
      <c r="A211" s="2" t="s">
        <v>289</v>
      </c>
      <c r="B211" s="2" t="n">
        <v>337</v>
      </c>
      <c r="C211" s="2" t="n">
        <v>26</v>
      </c>
      <c r="D211" s="9" t="n">
        <v>46028.1916666667</v>
      </c>
      <c r="E211" s="10" t="n">
        <f aca="false">INT(D211)</f>
        <v>46028</v>
      </c>
      <c r="F211" s="2" t="n">
        <v>49</v>
      </c>
      <c r="G211" s="2" t="s">
        <v>56</v>
      </c>
      <c r="H211" s="2" t="s">
        <v>78</v>
      </c>
      <c r="I211" s="2" t="n">
        <v>8</v>
      </c>
      <c r="J211" s="2" t="str">
        <f aca="false">IFERROR(VLOOKUP($C211,merchants!$A$2:$D$41,2,FALSE()),"Merchant not found")</f>
        <v>Merchant_026</v>
      </c>
      <c r="K211" s="2" t="str">
        <f aca="false">IFERROR(VLOOKUP($C211,merchants!$A$2:$D$41,3,FALSE()),"Merchant not found")</f>
        <v>food_delivery</v>
      </c>
      <c r="L211" s="2" t="str">
        <f aca="false">IFERROR(VLOOKUP($C211,merchants!$A$2:$D$41,4,FALSE()),"Merchant not found")</f>
        <v>East</v>
      </c>
      <c r="M211" s="2" t="n">
        <f aca="false">SUMIFS($F$2:$F$548,$C$2:$C$548,C211,$E$2:$E$548,E211)</f>
        <v>49</v>
      </c>
      <c r="N211" s="2" t="str">
        <f aca="false">IF(AND(M211&gt;5000,L211&lt;&gt;"East"),"High-Value Merchant Day","No")</f>
        <v>No</v>
      </c>
    </row>
    <row r="212" customFormat="false" ht="15" hidden="false" customHeight="false" outlineLevel="0" collapsed="false">
      <c r="A212" s="2" t="s">
        <v>290</v>
      </c>
      <c r="B212" s="2" t="n">
        <v>16</v>
      </c>
      <c r="C212" s="2" t="n">
        <v>6</v>
      </c>
      <c r="D212" s="9" t="n">
        <v>46027.9861111111</v>
      </c>
      <c r="E212" s="10" t="n">
        <f aca="false">INT(D212)</f>
        <v>46027</v>
      </c>
      <c r="F212" s="2" t="n">
        <v>1499</v>
      </c>
      <c r="G212" s="2" t="s">
        <v>56</v>
      </c>
      <c r="H212" s="2" t="s">
        <v>78</v>
      </c>
      <c r="I212" s="2" t="n">
        <v>95</v>
      </c>
      <c r="J212" s="2" t="str">
        <f aca="false">IFERROR(VLOOKUP($C212,merchants!$A$2:$D$41,2,FALSE()),"Merchant not found")</f>
        <v>Merchant_006</v>
      </c>
      <c r="K212" s="2" t="str">
        <f aca="false">IFERROR(VLOOKUP($C212,merchants!$A$2:$D$41,3,FALSE()),"Merchant not found")</f>
        <v>food_delivery</v>
      </c>
      <c r="L212" s="2" t="str">
        <f aca="false">IFERROR(VLOOKUP($C212,merchants!$A$2:$D$41,4,FALSE()),"Merchant not found")</f>
        <v>South</v>
      </c>
      <c r="M212" s="2" t="n">
        <f aca="false">SUMIFS($F$2:$F$548,$C$2:$C$548,C212,$E$2:$E$548,E212)</f>
        <v>1499</v>
      </c>
      <c r="N212" s="2" t="str">
        <f aca="false">IF(AND(M212&gt;5000,L212&lt;&gt;"East"),"High-Value Merchant Day","No")</f>
        <v>No</v>
      </c>
    </row>
    <row r="213" customFormat="false" ht="15" hidden="false" customHeight="false" outlineLevel="0" collapsed="false">
      <c r="A213" s="2" t="s">
        <v>291</v>
      </c>
      <c r="B213" s="2" t="n">
        <v>215</v>
      </c>
      <c r="C213" s="2" t="n">
        <v>30</v>
      </c>
      <c r="D213" s="9" t="n">
        <v>46039.2666666667</v>
      </c>
      <c r="E213" s="10" t="n">
        <f aca="false">INT(D213)</f>
        <v>46039</v>
      </c>
      <c r="F213" s="2" t="n">
        <v>49</v>
      </c>
      <c r="G213" s="2" t="s">
        <v>56</v>
      </c>
      <c r="H213" s="2" t="s">
        <v>78</v>
      </c>
      <c r="I213" s="2" t="n">
        <v>43</v>
      </c>
      <c r="J213" s="2" t="str">
        <f aca="false">IFERROR(VLOOKUP($C213,merchants!$A$2:$D$41,2,FALSE()),"Merchant not found")</f>
        <v>Merchant_030</v>
      </c>
      <c r="K213" s="2" t="str">
        <f aca="false">IFERROR(VLOOKUP($C213,merchants!$A$2:$D$41,3,FALSE()),"Merchant not found")</f>
        <v>travel</v>
      </c>
      <c r="L213" s="2" t="str">
        <f aca="false">IFERROR(VLOOKUP($C213,merchants!$A$2:$D$41,4,FALSE()),"Merchant not found")</f>
        <v>West</v>
      </c>
      <c r="M213" s="2" t="n">
        <f aca="false">SUMIFS($F$2:$F$548,$C$2:$C$548,C213,$E$2:$E$548,E213)</f>
        <v>49</v>
      </c>
      <c r="N213" s="2" t="str">
        <f aca="false">IF(AND(M213&gt;5000,L213&lt;&gt;"East"),"High-Value Merchant Day","No")</f>
        <v>No</v>
      </c>
    </row>
    <row r="214" customFormat="false" ht="15" hidden="false" customHeight="false" outlineLevel="0" collapsed="false">
      <c r="A214" s="2" t="s">
        <v>292</v>
      </c>
      <c r="B214" s="2" t="n">
        <v>167</v>
      </c>
      <c r="C214" s="2" t="n">
        <v>37</v>
      </c>
      <c r="D214" s="9" t="n">
        <v>46028.4715277778</v>
      </c>
      <c r="E214" s="10" t="n">
        <f aca="false">INT(D214)</f>
        <v>46028</v>
      </c>
      <c r="F214" s="2" t="n">
        <v>99</v>
      </c>
      <c r="G214" s="2" t="s">
        <v>56</v>
      </c>
      <c r="H214" s="2" t="s">
        <v>78</v>
      </c>
      <c r="I214" s="2" t="n">
        <v>76</v>
      </c>
      <c r="J214" s="2" t="str">
        <f aca="false">IFERROR(VLOOKUP($C214,merchants!$A$2:$D$41,2,FALSE()),"Merchant not found")</f>
        <v>Merchant_037</v>
      </c>
      <c r="K214" s="2" t="str">
        <f aca="false">IFERROR(VLOOKUP($C214,merchants!$A$2:$D$41,3,FALSE()),"Merchant not found")</f>
        <v>entertainment</v>
      </c>
      <c r="L214" s="2" t="str">
        <f aca="false">IFERROR(VLOOKUP($C214,merchants!$A$2:$D$41,4,FALSE()),"Merchant not found")</f>
        <v>South</v>
      </c>
      <c r="M214" s="2" t="n">
        <f aca="false">SUMIFS($F$2:$F$548,$C$2:$C$548,C214,$E$2:$E$548,E214)</f>
        <v>99</v>
      </c>
      <c r="N214" s="2" t="str">
        <f aca="false">IF(AND(M214&gt;5000,L214&lt;&gt;"East"),"High-Value Merchant Day","No")</f>
        <v>No</v>
      </c>
    </row>
    <row r="215" customFormat="false" ht="15" hidden="false" customHeight="false" outlineLevel="0" collapsed="false">
      <c r="A215" s="2" t="s">
        <v>293</v>
      </c>
      <c r="B215" s="2" t="n">
        <v>81</v>
      </c>
      <c r="C215" s="2" t="n">
        <v>40</v>
      </c>
      <c r="D215" s="9" t="n">
        <v>46025.0479166667</v>
      </c>
      <c r="E215" s="10" t="n">
        <f aca="false">INT(D215)</f>
        <v>46025</v>
      </c>
      <c r="F215" s="2" t="n">
        <v>49</v>
      </c>
      <c r="G215" s="2" t="s">
        <v>56</v>
      </c>
      <c r="H215" s="2" t="s">
        <v>78</v>
      </c>
      <c r="I215" s="2" t="n">
        <v>6</v>
      </c>
      <c r="J215" s="2" t="str">
        <f aca="false">IFERROR(VLOOKUP($C215,merchants!$A$2:$D$41,2,FALSE()),"Merchant not found")</f>
        <v>Merchant_040</v>
      </c>
      <c r="K215" s="2" t="str">
        <f aca="false">IFERROR(VLOOKUP($C215,merchants!$A$2:$D$41,3,FALSE()),"Merchant not found")</f>
        <v>entertainment</v>
      </c>
      <c r="L215" s="2" t="str">
        <f aca="false">IFERROR(VLOOKUP($C215,merchants!$A$2:$D$41,4,FALSE()),"Merchant not found")</f>
        <v>South</v>
      </c>
      <c r="M215" s="2" t="n">
        <f aca="false">SUMIFS($F$2:$F$548,$C$2:$C$548,C215,$E$2:$E$548,E215)</f>
        <v>49</v>
      </c>
      <c r="N215" s="2" t="str">
        <f aca="false">IF(AND(M215&gt;5000,L215&lt;&gt;"East"),"High-Value Merchant Day","No")</f>
        <v>No</v>
      </c>
    </row>
    <row r="216" customFormat="false" ht="15" hidden="false" customHeight="false" outlineLevel="0" collapsed="false">
      <c r="A216" s="2" t="s">
        <v>294</v>
      </c>
      <c r="B216" s="2" t="n">
        <v>227</v>
      </c>
      <c r="C216" s="2" t="n">
        <v>28</v>
      </c>
      <c r="D216" s="9" t="n">
        <v>46044.0951388889</v>
      </c>
      <c r="E216" s="10" t="n">
        <f aca="false">INT(D216)</f>
        <v>46044</v>
      </c>
      <c r="F216" s="2" t="n">
        <v>99</v>
      </c>
      <c r="G216" s="2" t="s">
        <v>56</v>
      </c>
      <c r="H216" s="2" t="s">
        <v>78</v>
      </c>
      <c r="I216" s="2" t="n">
        <v>62</v>
      </c>
      <c r="J216" s="2" t="str">
        <f aca="false">IFERROR(VLOOKUP($C216,merchants!$A$2:$D$41,2,FALSE()),"Merchant not found")</f>
        <v>Merchant_028</v>
      </c>
      <c r="K216" s="2" t="str">
        <f aca="false">IFERROR(VLOOKUP($C216,merchants!$A$2:$D$41,3,FALSE()),"Merchant not found")</f>
        <v>ecommerce</v>
      </c>
      <c r="L216" s="2" t="str">
        <f aca="false">IFERROR(VLOOKUP($C216,merchants!$A$2:$D$41,4,FALSE()),"Merchant not found")</f>
        <v>South</v>
      </c>
      <c r="M216" s="2" t="n">
        <f aca="false">SUMIFS($F$2:$F$548,$C$2:$C$548,C216,$E$2:$E$548,E216)</f>
        <v>99</v>
      </c>
      <c r="N216" s="2" t="str">
        <f aca="false">IF(AND(M216&gt;5000,L216&lt;&gt;"East"),"High-Value Merchant Day","No")</f>
        <v>No</v>
      </c>
    </row>
    <row r="217" customFormat="false" ht="15" hidden="false" customHeight="false" outlineLevel="0" collapsed="false">
      <c r="A217" s="2" t="s">
        <v>295</v>
      </c>
      <c r="B217" s="2" t="n">
        <v>140</v>
      </c>
      <c r="C217" s="2" t="n">
        <v>14</v>
      </c>
      <c r="D217" s="9" t="n">
        <v>46042.6013888889</v>
      </c>
      <c r="E217" s="10" t="n">
        <f aca="false">INT(D217)</f>
        <v>46042</v>
      </c>
      <c r="F217" s="2" t="n">
        <v>299</v>
      </c>
      <c r="G217" s="2" t="s">
        <v>57</v>
      </c>
      <c r="H217" s="2" t="s">
        <v>78</v>
      </c>
      <c r="I217" s="2" t="n">
        <v>96</v>
      </c>
      <c r="J217" s="2" t="str">
        <f aca="false">IFERROR(VLOOKUP($C217,merchants!$A$2:$D$41,2,FALSE()),"Merchant not found")</f>
        <v>Merchant_014</v>
      </c>
      <c r="K217" s="2" t="str">
        <f aca="false">IFERROR(VLOOKUP($C217,merchants!$A$2:$D$41,3,FALSE()),"Merchant not found")</f>
        <v>grocery</v>
      </c>
      <c r="L217" s="2" t="str">
        <f aca="false">IFERROR(VLOOKUP($C217,merchants!$A$2:$D$41,4,FALSE()),"Merchant not found")</f>
        <v>East</v>
      </c>
      <c r="M217" s="2" t="n">
        <f aca="false">SUMIFS($F$2:$F$548,$C$2:$C$548,C217,$E$2:$E$548,E217)</f>
        <v>299</v>
      </c>
      <c r="N217" s="2" t="str">
        <f aca="false">IF(AND(M217&gt;5000,L217&lt;&gt;"East"),"High-Value Merchant Day","No")</f>
        <v>No</v>
      </c>
    </row>
    <row r="218" customFormat="false" ht="15" hidden="false" customHeight="false" outlineLevel="0" collapsed="false">
      <c r="A218" s="2" t="s">
        <v>296</v>
      </c>
      <c r="B218" s="2" t="n">
        <v>221</v>
      </c>
      <c r="C218" s="2" t="n">
        <v>8</v>
      </c>
      <c r="D218" s="9" t="n">
        <v>46039.1402777778</v>
      </c>
      <c r="E218" s="10" t="n">
        <f aca="false">INT(D218)</f>
        <v>46039</v>
      </c>
      <c r="F218" s="2" t="n">
        <v>299</v>
      </c>
      <c r="G218" s="2" t="s">
        <v>56</v>
      </c>
      <c r="H218" s="2" t="s">
        <v>78</v>
      </c>
      <c r="I218" s="2" t="n">
        <v>36</v>
      </c>
      <c r="J218" s="2" t="str">
        <f aca="false">IFERROR(VLOOKUP($C218,merchants!$A$2:$D$41,2,FALSE()),"Merchant not found")</f>
        <v>Merchant_008</v>
      </c>
      <c r="K218" s="2" t="str">
        <f aca="false">IFERROR(VLOOKUP($C218,merchants!$A$2:$D$41,3,FALSE()),"Merchant not found")</f>
        <v>food_delivery</v>
      </c>
      <c r="L218" s="2" t="str">
        <f aca="false">IFERROR(VLOOKUP($C218,merchants!$A$2:$D$41,4,FALSE()),"Merchant not found")</f>
        <v>North</v>
      </c>
      <c r="M218" s="2" t="n">
        <f aca="false">SUMIFS($F$2:$F$548,$C$2:$C$548,C218,$E$2:$E$548,E218)</f>
        <v>348</v>
      </c>
      <c r="N218" s="2" t="str">
        <f aca="false">IF(AND(M218&gt;5000,L218&lt;&gt;"East"),"High-Value Merchant Day","No")</f>
        <v>No</v>
      </c>
    </row>
    <row r="219" customFormat="false" ht="15" hidden="false" customHeight="false" outlineLevel="0" collapsed="false">
      <c r="A219" s="2" t="s">
        <v>297</v>
      </c>
      <c r="B219" s="2" t="n">
        <v>250</v>
      </c>
      <c r="C219" s="2" t="n">
        <v>34</v>
      </c>
      <c r="D219" s="9" t="n">
        <v>46044.9006944444</v>
      </c>
      <c r="E219" s="10" t="n">
        <f aca="false">INT(D219)</f>
        <v>46044</v>
      </c>
      <c r="F219" s="2" t="n">
        <v>299</v>
      </c>
      <c r="G219" s="2" t="s">
        <v>57</v>
      </c>
      <c r="H219" s="2" t="s">
        <v>78</v>
      </c>
      <c r="I219" s="2" t="n">
        <v>85</v>
      </c>
      <c r="J219" s="2" t="str">
        <f aca="false">IFERROR(VLOOKUP($C219,merchants!$A$2:$D$41,2,FALSE()),"Merchant not found")</f>
        <v>Merchant_034</v>
      </c>
      <c r="K219" s="2" t="str">
        <f aca="false">IFERROR(VLOOKUP($C219,merchants!$A$2:$D$41,3,FALSE()),"Merchant not found")</f>
        <v>travel</v>
      </c>
      <c r="L219" s="2" t="str">
        <f aca="false">IFERROR(VLOOKUP($C219,merchants!$A$2:$D$41,4,FALSE()),"Merchant not found")</f>
        <v>South</v>
      </c>
      <c r="M219" s="2" t="n">
        <f aca="false">SUMIFS($F$2:$F$548,$C$2:$C$548,C219,$E$2:$E$548,E219)</f>
        <v>299</v>
      </c>
      <c r="N219" s="2" t="str">
        <f aca="false">IF(AND(M219&gt;5000,L219&lt;&gt;"East"),"High-Value Merchant Day","No")</f>
        <v>No</v>
      </c>
    </row>
    <row r="220" customFormat="false" ht="15" hidden="false" customHeight="false" outlineLevel="0" collapsed="false">
      <c r="A220" s="2" t="s">
        <v>298</v>
      </c>
      <c r="B220" s="2" t="n">
        <v>203</v>
      </c>
      <c r="C220" s="2" t="n">
        <v>39</v>
      </c>
      <c r="D220" s="9" t="n">
        <v>46032.0513888889</v>
      </c>
      <c r="E220" s="10" t="n">
        <f aca="false">INT(D220)</f>
        <v>46032</v>
      </c>
      <c r="F220" s="2" t="n">
        <v>49</v>
      </c>
      <c r="G220" s="2" t="s">
        <v>56</v>
      </c>
      <c r="H220" s="2" t="s">
        <v>78</v>
      </c>
      <c r="I220" s="2" t="n">
        <v>7</v>
      </c>
      <c r="J220" s="2" t="str">
        <f aca="false">IFERROR(VLOOKUP($C220,merchants!$A$2:$D$41,2,FALSE()),"Merchant not found")</f>
        <v>Merchant_039</v>
      </c>
      <c r="K220" s="2" t="str">
        <f aca="false">IFERROR(VLOOKUP($C220,merchants!$A$2:$D$41,3,FALSE()),"Merchant not found")</f>
        <v>entertainment</v>
      </c>
      <c r="L220" s="2" t="str">
        <f aca="false">IFERROR(VLOOKUP($C220,merchants!$A$2:$D$41,4,FALSE()),"Merchant not found")</f>
        <v>North</v>
      </c>
      <c r="M220" s="2" t="n">
        <f aca="false">SUMIFS($F$2:$F$548,$C$2:$C$548,C220,$E$2:$E$548,E220)</f>
        <v>49</v>
      </c>
      <c r="N220" s="2" t="str">
        <f aca="false">IF(AND(M220&gt;5000,L220&lt;&gt;"East"),"High-Value Merchant Day","No")</f>
        <v>No</v>
      </c>
    </row>
    <row r="221" customFormat="false" ht="15" hidden="false" customHeight="false" outlineLevel="0" collapsed="false">
      <c r="A221" s="2" t="s">
        <v>299</v>
      </c>
      <c r="B221" s="2" t="n">
        <v>109</v>
      </c>
      <c r="C221" s="2" t="n">
        <v>9</v>
      </c>
      <c r="D221" s="9" t="n">
        <v>46023.2631944444</v>
      </c>
      <c r="E221" s="10" t="n">
        <f aca="false">INT(D221)</f>
        <v>46023</v>
      </c>
      <c r="F221" s="2" t="n">
        <v>499</v>
      </c>
      <c r="G221" s="2" t="s">
        <v>57</v>
      </c>
      <c r="H221" s="2" t="s">
        <v>78</v>
      </c>
      <c r="I221" s="2" t="n">
        <v>97</v>
      </c>
      <c r="J221" s="2" t="str">
        <f aca="false">IFERROR(VLOOKUP($C221,merchants!$A$2:$D$41,2,FALSE()),"Merchant not found")</f>
        <v>Merchant_009</v>
      </c>
      <c r="K221" s="2" t="str">
        <f aca="false">IFERROR(VLOOKUP($C221,merchants!$A$2:$D$41,3,FALSE()),"Merchant not found")</f>
        <v>ecommerce</v>
      </c>
      <c r="L221" s="2" t="str">
        <f aca="false">IFERROR(VLOOKUP($C221,merchants!$A$2:$D$41,4,FALSE()),"Merchant not found")</f>
        <v>North</v>
      </c>
      <c r="M221" s="2" t="n">
        <f aca="false">SUMIFS($F$2:$F$548,$C$2:$C$548,C221,$E$2:$E$548,E221)</f>
        <v>499</v>
      </c>
      <c r="N221" s="2" t="str">
        <f aca="false">IF(AND(M221&gt;5000,L221&lt;&gt;"East"),"High-Value Merchant Day","No")</f>
        <v>No</v>
      </c>
    </row>
    <row r="222" customFormat="false" ht="15" hidden="false" customHeight="false" outlineLevel="0" collapsed="false">
      <c r="A222" s="2" t="s">
        <v>300</v>
      </c>
      <c r="B222" s="2" t="n">
        <v>62</v>
      </c>
      <c r="C222" s="2" t="n">
        <v>1</v>
      </c>
      <c r="D222" s="9" t="n">
        <v>46031.3888888889</v>
      </c>
      <c r="E222" s="10" t="n">
        <f aca="false">INT(D222)</f>
        <v>46031</v>
      </c>
      <c r="F222" s="2" t="n">
        <v>4999</v>
      </c>
      <c r="G222" s="2" t="s">
        <v>57</v>
      </c>
      <c r="H222" s="2" t="s">
        <v>78</v>
      </c>
      <c r="I222" s="2" t="n">
        <v>63</v>
      </c>
      <c r="J222" s="2" t="str">
        <f aca="false">IFERROR(VLOOKUP($C222,merchants!$A$2:$D$41,2,FALSE()),"Merchant not found")</f>
        <v>Merchant_001</v>
      </c>
      <c r="K222" s="2" t="str">
        <f aca="false">IFERROR(VLOOKUP($C222,merchants!$A$2:$D$41,3,FALSE()),"Merchant not found")</f>
        <v>ecommerce</v>
      </c>
      <c r="L222" s="2" t="str">
        <f aca="false">IFERROR(VLOOKUP($C222,merchants!$A$2:$D$41,4,FALSE()),"Merchant not found")</f>
        <v>South</v>
      </c>
      <c r="M222" s="2" t="n">
        <f aca="false">SUMIFS($F$2:$F$548,$C$2:$C$548,C222,$E$2:$E$548,E222)</f>
        <v>5048</v>
      </c>
      <c r="N222" s="2" t="str">
        <f aca="false">IF(AND(M222&gt;5000,L222&lt;&gt;"East"),"High-Value Merchant Day","No")</f>
        <v>High-Value Merchant Day</v>
      </c>
    </row>
    <row r="223" customFormat="false" ht="15" hidden="false" customHeight="false" outlineLevel="0" collapsed="false">
      <c r="A223" s="2" t="s">
        <v>301</v>
      </c>
      <c r="B223" s="2" t="n">
        <v>67</v>
      </c>
      <c r="C223" s="2" t="n">
        <v>25</v>
      </c>
      <c r="D223" s="9" t="n">
        <v>46046.5493055556</v>
      </c>
      <c r="E223" s="10" t="n">
        <f aca="false">INT(D223)</f>
        <v>46046</v>
      </c>
      <c r="F223" s="2" t="n">
        <v>49</v>
      </c>
      <c r="G223" s="2" t="s">
        <v>56</v>
      </c>
      <c r="H223" s="2" t="s">
        <v>78</v>
      </c>
      <c r="I223" s="2" t="n">
        <v>68</v>
      </c>
      <c r="J223" s="2" t="str">
        <f aca="false">IFERROR(VLOOKUP($C223,merchants!$A$2:$D$41,2,FALSE()),"Merchant not found")</f>
        <v>Merchant_025</v>
      </c>
      <c r="K223" s="2" t="str">
        <f aca="false">IFERROR(VLOOKUP($C223,merchants!$A$2:$D$41,3,FALSE()),"Merchant not found")</f>
        <v>travel</v>
      </c>
      <c r="L223" s="2" t="str">
        <f aca="false">IFERROR(VLOOKUP($C223,merchants!$A$2:$D$41,4,FALSE()),"Merchant not found")</f>
        <v>South</v>
      </c>
      <c r="M223" s="2" t="n">
        <f aca="false">SUMIFS($F$2:$F$548,$C$2:$C$548,C223,$E$2:$E$548,E223)</f>
        <v>497</v>
      </c>
      <c r="N223" s="2" t="str">
        <f aca="false">IF(AND(M223&gt;5000,L223&lt;&gt;"East"),"High-Value Merchant Day","No")</f>
        <v>No</v>
      </c>
    </row>
    <row r="224" customFormat="false" ht="15" hidden="false" customHeight="false" outlineLevel="0" collapsed="false">
      <c r="A224" s="2" t="s">
        <v>302</v>
      </c>
      <c r="B224" s="2" t="n">
        <v>287</v>
      </c>
      <c r="C224" s="2" t="n">
        <v>23</v>
      </c>
      <c r="D224" s="9" t="n">
        <v>46045.3138888889</v>
      </c>
      <c r="E224" s="10" t="n">
        <f aca="false">INT(D224)</f>
        <v>46045</v>
      </c>
      <c r="F224" s="2" t="n">
        <v>49</v>
      </c>
      <c r="G224" s="2" t="s">
        <v>56</v>
      </c>
      <c r="H224" s="2" t="s">
        <v>78</v>
      </c>
      <c r="I224" s="2" t="n">
        <v>9</v>
      </c>
      <c r="J224" s="2" t="str">
        <f aca="false">IFERROR(VLOOKUP($C224,merchants!$A$2:$D$41,2,FALSE()),"Merchant not found")</f>
        <v>Merchant_023</v>
      </c>
      <c r="K224" s="2" t="str">
        <f aca="false">IFERROR(VLOOKUP($C224,merchants!$A$2:$D$41,3,FALSE()),"Merchant not found")</f>
        <v>travel</v>
      </c>
      <c r="L224" s="2" t="str">
        <f aca="false">IFERROR(VLOOKUP($C224,merchants!$A$2:$D$41,4,FALSE()),"Merchant not found")</f>
        <v>North</v>
      </c>
      <c r="M224" s="2" t="n">
        <f aca="false">SUMIFS($F$2:$F$548,$C$2:$C$548,C224,$E$2:$E$548,E224)</f>
        <v>247</v>
      </c>
      <c r="N224" s="2" t="str">
        <f aca="false">IF(AND(M224&gt;5000,L224&lt;&gt;"East"),"High-Value Merchant Day","No")</f>
        <v>No</v>
      </c>
    </row>
    <row r="225" customFormat="false" ht="15" hidden="false" customHeight="false" outlineLevel="0" collapsed="false">
      <c r="A225" s="2" t="s">
        <v>303</v>
      </c>
      <c r="B225" s="2" t="n">
        <v>224</v>
      </c>
      <c r="C225" s="2" t="n">
        <v>2</v>
      </c>
      <c r="D225" s="9" t="n">
        <v>46035.9597222222</v>
      </c>
      <c r="E225" s="10" t="n">
        <f aca="false">INT(D225)</f>
        <v>46035</v>
      </c>
      <c r="F225" s="2" t="n">
        <v>49</v>
      </c>
      <c r="G225" s="2" t="s">
        <v>58</v>
      </c>
      <c r="H225" s="2" t="s">
        <v>78</v>
      </c>
      <c r="I225" s="2" t="n">
        <v>58</v>
      </c>
      <c r="J225" s="2" t="str">
        <f aca="false">IFERROR(VLOOKUP($C225,merchants!$A$2:$D$41,2,FALSE()),"Merchant not found")</f>
        <v>Merchant_002</v>
      </c>
      <c r="K225" s="2" t="str">
        <f aca="false">IFERROR(VLOOKUP($C225,merchants!$A$2:$D$41,3,FALSE()),"Merchant not found")</f>
        <v>grocery</v>
      </c>
      <c r="L225" s="2" t="str">
        <f aca="false">IFERROR(VLOOKUP($C225,merchants!$A$2:$D$41,4,FALSE()),"Merchant not found")</f>
        <v>West</v>
      </c>
      <c r="M225" s="2" t="n">
        <f aca="false">SUMIFS($F$2:$F$548,$C$2:$C$548,C225,$E$2:$E$548,E225)</f>
        <v>49</v>
      </c>
      <c r="N225" s="2" t="str">
        <f aca="false">IF(AND(M225&gt;5000,L225&lt;&gt;"East"),"High-Value Merchant Day","No")</f>
        <v>No</v>
      </c>
    </row>
    <row r="226" customFormat="false" ht="15" hidden="false" customHeight="false" outlineLevel="0" collapsed="false">
      <c r="A226" s="2" t="s">
        <v>304</v>
      </c>
      <c r="B226" s="2" t="n">
        <v>161</v>
      </c>
      <c r="C226" s="2" t="n">
        <v>37</v>
      </c>
      <c r="D226" s="9" t="n">
        <v>46052.1215277778</v>
      </c>
      <c r="E226" s="10" t="n">
        <f aca="false">INT(D226)</f>
        <v>46052</v>
      </c>
      <c r="F226" s="2" t="n">
        <v>299</v>
      </c>
      <c r="G226" s="2" t="s">
        <v>56</v>
      </c>
      <c r="H226" s="2" t="s">
        <v>78</v>
      </c>
      <c r="I226" s="2" t="n">
        <v>54</v>
      </c>
      <c r="J226" s="2" t="str">
        <f aca="false">IFERROR(VLOOKUP($C226,merchants!$A$2:$D$41,2,FALSE()),"Merchant not found")</f>
        <v>Merchant_037</v>
      </c>
      <c r="K226" s="2" t="str">
        <f aca="false">IFERROR(VLOOKUP($C226,merchants!$A$2:$D$41,3,FALSE()),"Merchant not found")</f>
        <v>entertainment</v>
      </c>
      <c r="L226" s="2" t="str">
        <f aca="false">IFERROR(VLOOKUP($C226,merchants!$A$2:$D$41,4,FALSE()),"Merchant not found")</f>
        <v>South</v>
      </c>
      <c r="M226" s="2" t="n">
        <f aca="false">SUMIFS($F$2:$F$548,$C$2:$C$548,C226,$E$2:$E$548,E226)</f>
        <v>299</v>
      </c>
      <c r="N226" s="2" t="str">
        <f aca="false">IF(AND(M226&gt;5000,L226&lt;&gt;"East"),"High-Value Merchant Day","No")</f>
        <v>No</v>
      </c>
    </row>
    <row r="227" customFormat="false" ht="15" hidden="false" customHeight="false" outlineLevel="0" collapsed="false">
      <c r="A227" s="2" t="s">
        <v>305</v>
      </c>
      <c r="B227" s="2" t="n">
        <v>328</v>
      </c>
      <c r="C227" s="2" t="n">
        <v>27</v>
      </c>
      <c r="D227" s="9" t="n">
        <v>46041.53125</v>
      </c>
      <c r="E227" s="10" t="n">
        <f aca="false">INT(D227)</f>
        <v>46041</v>
      </c>
      <c r="F227" s="2" t="n">
        <v>49</v>
      </c>
      <c r="G227" s="2" t="s">
        <v>56</v>
      </c>
      <c r="H227" s="2" t="s">
        <v>103</v>
      </c>
      <c r="I227" s="2" t="n">
        <v>37</v>
      </c>
      <c r="J227" s="2" t="str">
        <f aca="false">IFERROR(VLOOKUP($C227,merchants!$A$2:$D$41,2,FALSE()),"Merchant not found")</f>
        <v>Merchant_027</v>
      </c>
      <c r="K227" s="2" t="str">
        <f aca="false">IFERROR(VLOOKUP($C227,merchants!$A$2:$D$41,3,FALSE()),"Merchant not found")</f>
        <v>ecommerce</v>
      </c>
      <c r="L227" s="2" t="str">
        <f aca="false">IFERROR(VLOOKUP($C227,merchants!$A$2:$D$41,4,FALSE()),"Merchant not found")</f>
        <v>North</v>
      </c>
      <c r="M227" s="2" t="n">
        <f aca="false">SUMIFS($F$2:$F$548,$C$2:$C$548,C227,$E$2:$E$548,E227)</f>
        <v>49</v>
      </c>
      <c r="N227" s="2" t="str">
        <f aca="false">IF(AND(M227&gt;5000,L227&lt;&gt;"East"),"High-Value Merchant Day","No")</f>
        <v>No</v>
      </c>
    </row>
    <row r="228" customFormat="false" ht="15" hidden="false" customHeight="false" outlineLevel="0" collapsed="false">
      <c r="A228" s="2" t="s">
        <v>306</v>
      </c>
      <c r="B228" s="2" t="n">
        <v>167</v>
      </c>
      <c r="C228" s="2" t="n">
        <v>11</v>
      </c>
      <c r="D228" s="9" t="n">
        <v>46026.5006944445</v>
      </c>
      <c r="E228" s="10" t="n">
        <f aca="false">INT(D228)</f>
        <v>46026</v>
      </c>
      <c r="F228" s="2" t="n">
        <v>1499</v>
      </c>
      <c r="G228" s="2" t="s">
        <v>58</v>
      </c>
      <c r="H228" s="2" t="s">
        <v>90</v>
      </c>
      <c r="I228" s="2" t="n">
        <v>79</v>
      </c>
      <c r="J228" s="2" t="str">
        <f aca="false">IFERROR(VLOOKUP($C228,merchants!$A$2:$D$41,2,FALSE()),"Merchant not found")</f>
        <v>Merchant_011</v>
      </c>
      <c r="K228" s="2" t="str">
        <f aca="false">IFERROR(VLOOKUP($C228,merchants!$A$2:$D$41,3,FALSE()),"Merchant not found")</f>
        <v>ecommerce</v>
      </c>
      <c r="L228" s="2" t="str">
        <f aca="false">IFERROR(VLOOKUP($C228,merchants!$A$2:$D$41,4,FALSE()),"Merchant not found")</f>
        <v>North</v>
      </c>
      <c r="M228" s="2" t="n">
        <f aca="false">SUMIFS($F$2:$F$548,$C$2:$C$548,C228,$E$2:$E$548,E228)</f>
        <v>1499</v>
      </c>
      <c r="N228" s="2" t="str">
        <f aca="false">IF(AND(M228&gt;5000,L228&lt;&gt;"East"),"High-Value Merchant Day","No")</f>
        <v>No</v>
      </c>
    </row>
    <row r="229" customFormat="false" ht="15" hidden="false" customHeight="false" outlineLevel="0" collapsed="false">
      <c r="A229" s="2" t="s">
        <v>307</v>
      </c>
      <c r="B229" s="2" t="n">
        <v>186</v>
      </c>
      <c r="C229" s="2" t="n">
        <v>6</v>
      </c>
      <c r="D229" s="9" t="n">
        <v>46037.9569444444</v>
      </c>
      <c r="E229" s="10" t="n">
        <f aca="false">INT(D229)</f>
        <v>46037</v>
      </c>
      <c r="F229" s="2" t="n">
        <v>49</v>
      </c>
      <c r="G229" s="2" t="s">
        <v>57</v>
      </c>
      <c r="H229" s="2" t="s">
        <v>78</v>
      </c>
      <c r="I229" s="2" t="n">
        <v>55</v>
      </c>
      <c r="J229" s="2" t="str">
        <f aca="false">IFERROR(VLOOKUP($C229,merchants!$A$2:$D$41,2,FALSE()),"Merchant not found")</f>
        <v>Merchant_006</v>
      </c>
      <c r="K229" s="2" t="str">
        <f aca="false">IFERROR(VLOOKUP($C229,merchants!$A$2:$D$41,3,FALSE()),"Merchant not found")</f>
        <v>food_delivery</v>
      </c>
      <c r="L229" s="2" t="str">
        <f aca="false">IFERROR(VLOOKUP($C229,merchants!$A$2:$D$41,4,FALSE()),"Merchant not found")</f>
        <v>South</v>
      </c>
      <c r="M229" s="2" t="n">
        <f aca="false">SUMIFS($F$2:$F$548,$C$2:$C$548,C229,$E$2:$E$548,E229)</f>
        <v>49</v>
      </c>
      <c r="N229" s="2" t="str">
        <f aca="false">IF(AND(M229&gt;5000,L229&lt;&gt;"East"),"High-Value Merchant Day","No")</f>
        <v>No</v>
      </c>
    </row>
    <row r="230" customFormat="false" ht="15" hidden="false" customHeight="false" outlineLevel="0" collapsed="false">
      <c r="A230" s="2" t="s">
        <v>308</v>
      </c>
      <c r="B230" s="2" t="n">
        <v>224</v>
      </c>
      <c r="C230" s="2" t="n">
        <v>38</v>
      </c>
      <c r="D230" s="9" t="n">
        <v>46050.1354166667</v>
      </c>
      <c r="E230" s="10" t="n">
        <f aca="false">INT(D230)</f>
        <v>46050</v>
      </c>
      <c r="F230" s="2" t="n">
        <v>299</v>
      </c>
      <c r="G230" s="2" t="s">
        <v>57</v>
      </c>
      <c r="H230" s="2" t="s">
        <v>90</v>
      </c>
      <c r="I230" s="2" t="n">
        <v>51</v>
      </c>
      <c r="J230" s="2" t="str">
        <f aca="false">IFERROR(VLOOKUP($C230,merchants!$A$2:$D$41,2,FALSE()),"Merchant not found")</f>
        <v>Merchant_038</v>
      </c>
      <c r="K230" s="2" t="str">
        <f aca="false">IFERROR(VLOOKUP($C230,merchants!$A$2:$D$41,3,FALSE()),"Merchant not found")</f>
        <v>grocery</v>
      </c>
      <c r="L230" s="2" t="str">
        <f aca="false">IFERROR(VLOOKUP($C230,merchants!$A$2:$D$41,4,FALSE()),"Merchant not found")</f>
        <v>East</v>
      </c>
      <c r="M230" s="2" t="n">
        <f aca="false">SUMIFS($F$2:$F$548,$C$2:$C$548,C230,$E$2:$E$548,E230)</f>
        <v>299</v>
      </c>
      <c r="N230" s="2" t="str">
        <f aca="false">IF(AND(M230&gt;5000,L230&lt;&gt;"East"),"High-Value Merchant Day","No")</f>
        <v>No</v>
      </c>
    </row>
    <row r="231" customFormat="false" ht="15" hidden="false" customHeight="false" outlineLevel="0" collapsed="false">
      <c r="A231" s="2" t="s">
        <v>309</v>
      </c>
      <c r="B231" s="2" t="n">
        <v>159</v>
      </c>
      <c r="C231" s="2" t="n">
        <v>22</v>
      </c>
      <c r="D231" s="9" t="n">
        <v>46039.1006944445</v>
      </c>
      <c r="E231" s="10" t="n">
        <f aca="false">INT(D231)</f>
        <v>46039</v>
      </c>
      <c r="F231" s="2" t="n">
        <v>799</v>
      </c>
      <c r="G231" s="2" t="s">
        <v>56</v>
      </c>
      <c r="H231" s="2" t="s">
        <v>78</v>
      </c>
      <c r="I231" s="2" t="n">
        <v>28</v>
      </c>
      <c r="J231" s="2" t="str">
        <f aca="false">IFERROR(VLOOKUP($C231,merchants!$A$2:$D$41,2,FALSE()),"Merchant not found")</f>
        <v>Merchant_022</v>
      </c>
      <c r="K231" s="2" t="str">
        <f aca="false">IFERROR(VLOOKUP($C231,merchants!$A$2:$D$41,3,FALSE()),"Merchant not found")</f>
        <v>travel</v>
      </c>
      <c r="L231" s="2" t="str">
        <f aca="false">IFERROR(VLOOKUP($C231,merchants!$A$2:$D$41,4,FALSE()),"Merchant not found")</f>
        <v>South</v>
      </c>
      <c r="M231" s="2" t="n">
        <f aca="false">SUMIFS($F$2:$F$548,$C$2:$C$548,C231,$E$2:$E$548,E231)</f>
        <v>1598</v>
      </c>
      <c r="N231" s="2" t="str">
        <f aca="false">IF(AND(M231&gt;5000,L231&lt;&gt;"East"),"High-Value Merchant Day","No")</f>
        <v>No</v>
      </c>
    </row>
    <row r="232" customFormat="false" ht="15" hidden="false" customHeight="false" outlineLevel="0" collapsed="false">
      <c r="A232" s="2" t="s">
        <v>310</v>
      </c>
      <c r="B232" s="2" t="n">
        <v>262</v>
      </c>
      <c r="C232" s="2" t="n">
        <v>8</v>
      </c>
      <c r="D232" s="9" t="n">
        <v>46033.2111111111</v>
      </c>
      <c r="E232" s="10" t="n">
        <f aca="false">INT(D232)</f>
        <v>46033</v>
      </c>
      <c r="F232" s="2" t="n">
        <v>149</v>
      </c>
      <c r="G232" s="2" t="s">
        <v>56</v>
      </c>
      <c r="H232" s="2" t="s">
        <v>78</v>
      </c>
      <c r="I232" s="2" t="n">
        <v>67</v>
      </c>
      <c r="J232" s="2" t="str">
        <f aca="false">IFERROR(VLOOKUP($C232,merchants!$A$2:$D$41,2,FALSE()),"Merchant not found")</f>
        <v>Merchant_008</v>
      </c>
      <c r="K232" s="2" t="str">
        <f aca="false">IFERROR(VLOOKUP($C232,merchants!$A$2:$D$41,3,FALSE()),"Merchant not found")</f>
        <v>food_delivery</v>
      </c>
      <c r="L232" s="2" t="str">
        <f aca="false">IFERROR(VLOOKUP($C232,merchants!$A$2:$D$41,4,FALSE()),"Merchant not found")</f>
        <v>North</v>
      </c>
      <c r="M232" s="2" t="n">
        <f aca="false">SUMIFS($F$2:$F$548,$C$2:$C$548,C232,$E$2:$E$548,E232)</f>
        <v>149</v>
      </c>
      <c r="N232" s="2" t="str">
        <f aca="false">IF(AND(M232&gt;5000,L232&lt;&gt;"East"),"High-Value Merchant Day","No")</f>
        <v>No</v>
      </c>
    </row>
    <row r="233" customFormat="false" ht="15" hidden="false" customHeight="false" outlineLevel="0" collapsed="false">
      <c r="A233" s="2" t="s">
        <v>311</v>
      </c>
      <c r="B233" s="2" t="n">
        <v>179</v>
      </c>
      <c r="C233" s="2" t="n">
        <v>23</v>
      </c>
      <c r="D233" s="9" t="n">
        <v>46039.2895833333</v>
      </c>
      <c r="E233" s="10" t="n">
        <f aca="false">INT(D233)</f>
        <v>46039</v>
      </c>
      <c r="F233" s="2" t="n">
        <v>49</v>
      </c>
      <c r="G233" s="2" t="s">
        <v>57</v>
      </c>
      <c r="H233" s="2" t="s">
        <v>78</v>
      </c>
      <c r="I233" s="2" t="n">
        <v>93</v>
      </c>
      <c r="J233" s="2" t="str">
        <f aca="false">IFERROR(VLOOKUP($C233,merchants!$A$2:$D$41,2,FALSE()),"Merchant not found")</f>
        <v>Merchant_023</v>
      </c>
      <c r="K233" s="2" t="str">
        <f aca="false">IFERROR(VLOOKUP($C233,merchants!$A$2:$D$41,3,FALSE()),"Merchant not found")</f>
        <v>travel</v>
      </c>
      <c r="L233" s="2" t="str">
        <f aca="false">IFERROR(VLOOKUP($C233,merchants!$A$2:$D$41,4,FALSE()),"Merchant not found")</f>
        <v>North</v>
      </c>
      <c r="M233" s="2" t="n">
        <f aca="false">SUMIFS($F$2:$F$548,$C$2:$C$548,C233,$E$2:$E$548,E233)</f>
        <v>49</v>
      </c>
      <c r="N233" s="2" t="str">
        <f aca="false">IF(AND(M233&gt;5000,L233&lt;&gt;"East"),"High-Value Merchant Day","No")</f>
        <v>No</v>
      </c>
    </row>
    <row r="234" customFormat="false" ht="15" hidden="false" customHeight="false" outlineLevel="0" collapsed="false">
      <c r="A234" s="2" t="s">
        <v>312</v>
      </c>
      <c r="B234" s="2" t="n">
        <v>76</v>
      </c>
      <c r="C234" s="2" t="n">
        <v>16</v>
      </c>
      <c r="D234" s="9" t="n">
        <v>46049.8694444444</v>
      </c>
      <c r="E234" s="10" t="n">
        <f aca="false">INT(D234)</f>
        <v>46049</v>
      </c>
      <c r="F234" s="2" t="n">
        <v>299</v>
      </c>
      <c r="G234" s="2" t="s">
        <v>56</v>
      </c>
      <c r="H234" s="2" t="s">
        <v>78</v>
      </c>
      <c r="I234" s="2" t="n">
        <v>13</v>
      </c>
      <c r="J234" s="2" t="str">
        <f aca="false">IFERROR(VLOOKUP($C234,merchants!$A$2:$D$41,2,FALSE()),"Merchant not found")</f>
        <v>Merchant_016</v>
      </c>
      <c r="K234" s="2" t="str">
        <f aca="false">IFERROR(VLOOKUP($C234,merchants!$A$2:$D$41,3,FALSE()),"Merchant not found")</f>
        <v>bill_payment</v>
      </c>
      <c r="L234" s="2" t="str">
        <f aca="false">IFERROR(VLOOKUP($C234,merchants!$A$2:$D$41,4,FALSE()),"Merchant not found")</f>
        <v>West</v>
      </c>
      <c r="M234" s="2" t="n">
        <f aca="false">SUMIFS($F$2:$F$548,$C$2:$C$548,C234,$E$2:$E$548,E234)</f>
        <v>348</v>
      </c>
      <c r="N234" s="2" t="str">
        <f aca="false">IF(AND(M234&gt;5000,L234&lt;&gt;"East"),"High-Value Merchant Day","No")</f>
        <v>No</v>
      </c>
    </row>
    <row r="235" customFormat="false" ht="15" hidden="false" customHeight="false" outlineLevel="0" collapsed="false">
      <c r="A235" s="2" t="s">
        <v>313</v>
      </c>
      <c r="B235" s="2" t="n">
        <v>89</v>
      </c>
      <c r="C235" s="2" t="n">
        <v>39</v>
      </c>
      <c r="D235" s="9" t="n">
        <v>46027.3416666667</v>
      </c>
      <c r="E235" s="10" t="n">
        <f aca="false">INT(D235)</f>
        <v>46027</v>
      </c>
      <c r="F235" s="2" t="n">
        <v>299</v>
      </c>
      <c r="G235" s="2" t="s">
        <v>56</v>
      </c>
      <c r="H235" s="2" t="s">
        <v>78</v>
      </c>
      <c r="I235" s="2" t="n">
        <v>19</v>
      </c>
      <c r="J235" s="2" t="str">
        <f aca="false">IFERROR(VLOOKUP($C235,merchants!$A$2:$D$41,2,FALSE()),"Merchant not found")</f>
        <v>Merchant_039</v>
      </c>
      <c r="K235" s="2" t="str">
        <f aca="false">IFERROR(VLOOKUP($C235,merchants!$A$2:$D$41,3,FALSE()),"Merchant not found")</f>
        <v>entertainment</v>
      </c>
      <c r="L235" s="2" t="str">
        <f aca="false">IFERROR(VLOOKUP($C235,merchants!$A$2:$D$41,4,FALSE()),"Merchant not found")</f>
        <v>North</v>
      </c>
      <c r="M235" s="2" t="n">
        <f aca="false">SUMIFS($F$2:$F$548,$C$2:$C$548,C235,$E$2:$E$548,E235)</f>
        <v>299</v>
      </c>
      <c r="N235" s="2" t="str">
        <f aca="false">IF(AND(M235&gt;5000,L235&lt;&gt;"East"),"High-Value Merchant Day","No")</f>
        <v>No</v>
      </c>
    </row>
    <row r="236" customFormat="false" ht="15" hidden="false" customHeight="false" outlineLevel="0" collapsed="false">
      <c r="A236" s="2" t="s">
        <v>314</v>
      </c>
      <c r="B236" s="2" t="n">
        <v>91</v>
      </c>
      <c r="C236" s="2" t="n">
        <v>32</v>
      </c>
      <c r="D236" s="9" t="n">
        <v>46047.8361111111</v>
      </c>
      <c r="E236" s="10" t="n">
        <f aca="false">INT(D236)</f>
        <v>46047</v>
      </c>
      <c r="F236" s="2" t="n">
        <v>49</v>
      </c>
      <c r="G236" s="2" t="s">
        <v>56</v>
      </c>
      <c r="H236" s="2" t="s">
        <v>78</v>
      </c>
      <c r="I236" s="2" t="n">
        <v>59</v>
      </c>
      <c r="J236" s="2" t="str">
        <f aca="false">IFERROR(VLOOKUP($C236,merchants!$A$2:$D$41,2,FALSE()),"Merchant not found")</f>
        <v>Merchant_032</v>
      </c>
      <c r="K236" s="2" t="str">
        <f aca="false">IFERROR(VLOOKUP($C236,merchants!$A$2:$D$41,3,FALSE()),"Merchant not found")</f>
        <v>food_delivery</v>
      </c>
      <c r="L236" s="2" t="str">
        <f aca="false">IFERROR(VLOOKUP($C236,merchants!$A$2:$D$41,4,FALSE()),"Merchant not found")</f>
        <v>West</v>
      </c>
      <c r="M236" s="2" t="n">
        <f aca="false">SUMIFS($F$2:$F$548,$C$2:$C$548,C236,$E$2:$E$548,E236)</f>
        <v>49</v>
      </c>
      <c r="N236" s="2" t="str">
        <f aca="false">IF(AND(M236&gt;5000,L236&lt;&gt;"East"),"High-Value Merchant Day","No")</f>
        <v>No</v>
      </c>
    </row>
    <row r="237" customFormat="false" ht="15" hidden="false" customHeight="false" outlineLevel="0" collapsed="false">
      <c r="A237" s="2" t="s">
        <v>315</v>
      </c>
      <c r="B237" s="2" t="n">
        <v>297</v>
      </c>
      <c r="C237" s="2" t="n">
        <v>29</v>
      </c>
      <c r="D237" s="9" t="n">
        <v>46047.7833333333</v>
      </c>
      <c r="E237" s="10" t="n">
        <f aca="false">INT(D237)</f>
        <v>46047</v>
      </c>
      <c r="F237" s="2" t="n">
        <v>99</v>
      </c>
      <c r="G237" s="2" t="s">
        <v>58</v>
      </c>
      <c r="H237" s="2" t="s">
        <v>103</v>
      </c>
      <c r="I237" s="2" t="n">
        <v>87</v>
      </c>
      <c r="J237" s="2" t="str">
        <f aca="false">IFERROR(VLOOKUP($C237,merchants!$A$2:$D$41,2,FALSE()),"Merchant not found")</f>
        <v>Merchant_029</v>
      </c>
      <c r="K237" s="2" t="str">
        <f aca="false">IFERROR(VLOOKUP($C237,merchants!$A$2:$D$41,3,FALSE()),"Merchant not found")</f>
        <v>ecommerce</v>
      </c>
      <c r="L237" s="2" t="str">
        <f aca="false">IFERROR(VLOOKUP($C237,merchants!$A$2:$D$41,4,FALSE()),"Merchant not found")</f>
        <v>North</v>
      </c>
      <c r="M237" s="2" t="n">
        <f aca="false">SUMIFS($F$2:$F$548,$C$2:$C$548,C237,$E$2:$E$548,E237)</f>
        <v>3896</v>
      </c>
      <c r="N237" s="2" t="str">
        <f aca="false">IF(AND(M237&gt;5000,L237&lt;&gt;"East"),"High-Value Merchant Day","No")</f>
        <v>No</v>
      </c>
    </row>
    <row r="238" customFormat="false" ht="15" hidden="false" customHeight="false" outlineLevel="0" collapsed="false">
      <c r="A238" s="2" t="s">
        <v>316</v>
      </c>
      <c r="B238" s="2" t="n">
        <v>326</v>
      </c>
      <c r="C238" s="2" t="n">
        <v>40</v>
      </c>
      <c r="D238" s="9" t="n">
        <v>46052.7784722222</v>
      </c>
      <c r="E238" s="10" t="n">
        <f aca="false">INT(D238)</f>
        <v>46052</v>
      </c>
      <c r="F238" s="2" t="n">
        <v>499</v>
      </c>
      <c r="G238" s="2" t="s">
        <v>58</v>
      </c>
      <c r="H238" s="2" t="s">
        <v>78</v>
      </c>
      <c r="I238" s="2" t="n">
        <v>41</v>
      </c>
      <c r="J238" s="2" t="str">
        <f aca="false">IFERROR(VLOOKUP($C238,merchants!$A$2:$D$41,2,FALSE()),"Merchant not found")</f>
        <v>Merchant_040</v>
      </c>
      <c r="K238" s="2" t="str">
        <f aca="false">IFERROR(VLOOKUP($C238,merchants!$A$2:$D$41,3,FALSE()),"Merchant not found")</f>
        <v>entertainment</v>
      </c>
      <c r="L238" s="2" t="str">
        <f aca="false">IFERROR(VLOOKUP($C238,merchants!$A$2:$D$41,4,FALSE()),"Merchant not found")</f>
        <v>South</v>
      </c>
      <c r="M238" s="2" t="n">
        <f aca="false">SUMIFS($F$2:$F$548,$C$2:$C$548,C238,$E$2:$E$548,E238)</f>
        <v>499</v>
      </c>
      <c r="N238" s="2" t="str">
        <f aca="false">IF(AND(M238&gt;5000,L238&lt;&gt;"East"),"High-Value Merchant Day","No")</f>
        <v>No</v>
      </c>
    </row>
    <row r="239" customFormat="false" ht="15" hidden="false" customHeight="false" outlineLevel="0" collapsed="false">
      <c r="A239" s="2" t="s">
        <v>317</v>
      </c>
      <c r="B239" s="2" t="n">
        <v>78</v>
      </c>
      <c r="C239" s="2" t="n">
        <v>29</v>
      </c>
      <c r="D239" s="9" t="n">
        <v>46050.8472222222</v>
      </c>
      <c r="E239" s="10" t="n">
        <f aca="false">INT(D239)</f>
        <v>46050</v>
      </c>
      <c r="F239" s="2" t="n">
        <v>149</v>
      </c>
      <c r="G239" s="2" t="s">
        <v>56</v>
      </c>
      <c r="H239" s="2" t="s">
        <v>78</v>
      </c>
      <c r="I239" s="2" t="n">
        <v>8</v>
      </c>
      <c r="J239" s="2" t="str">
        <f aca="false">IFERROR(VLOOKUP($C239,merchants!$A$2:$D$41,2,FALSE()),"Merchant not found")</f>
        <v>Merchant_029</v>
      </c>
      <c r="K239" s="2" t="str">
        <f aca="false">IFERROR(VLOOKUP($C239,merchants!$A$2:$D$41,3,FALSE()),"Merchant not found")</f>
        <v>ecommerce</v>
      </c>
      <c r="L239" s="2" t="str">
        <f aca="false">IFERROR(VLOOKUP($C239,merchants!$A$2:$D$41,4,FALSE()),"Merchant not found")</f>
        <v>North</v>
      </c>
      <c r="M239" s="2" t="n">
        <f aca="false">SUMIFS($F$2:$F$548,$C$2:$C$548,C239,$E$2:$E$548,E239)</f>
        <v>149</v>
      </c>
      <c r="N239" s="2" t="str">
        <f aca="false">IF(AND(M239&gt;5000,L239&lt;&gt;"East"),"High-Value Merchant Day","No")</f>
        <v>No</v>
      </c>
    </row>
    <row r="240" customFormat="false" ht="15" hidden="false" customHeight="false" outlineLevel="0" collapsed="false">
      <c r="A240" s="2" t="s">
        <v>318</v>
      </c>
      <c r="B240" s="2" t="n">
        <v>156</v>
      </c>
      <c r="C240" s="2" t="n">
        <v>18</v>
      </c>
      <c r="D240" s="9" t="n">
        <v>46038.6111111111</v>
      </c>
      <c r="E240" s="10" t="n">
        <f aca="false">INT(D240)</f>
        <v>46038</v>
      </c>
      <c r="F240" s="2" t="n">
        <v>2999</v>
      </c>
      <c r="G240" s="2" t="s">
        <v>58</v>
      </c>
      <c r="H240" s="2" t="s">
        <v>78</v>
      </c>
      <c r="I240" s="2" t="n">
        <v>75</v>
      </c>
      <c r="J240" s="2" t="str">
        <f aca="false">IFERROR(VLOOKUP($C240,merchants!$A$2:$D$41,2,FALSE()),"Merchant not found")</f>
        <v>Merchant_018</v>
      </c>
      <c r="K240" s="2" t="str">
        <f aca="false">IFERROR(VLOOKUP($C240,merchants!$A$2:$D$41,3,FALSE()),"Merchant not found")</f>
        <v>grocery</v>
      </c>
      <c r="L240" s="2" t="str">
        <f aca="false">IFERROR(VLOOKUP($C240,merchants!$A$2:$D$41,4,FALSE()),"Merchant not found")</f>
        <v>West</v>
      </c>
      <c r="M240" s="2" t="n">
        <f aca="false">SUMIFS($F$2:$F$548,$C$2:$C$548,C240,$E$2:$E$548,E240)</f>
        <v>3148</v>
      </c>
      <c r="N240" s="2" t="str">
        <f aca="false">IF(AND(M240&gt;5000,L240&lt;&gt;"East"),"High-Value Merchant Day","No")</f>
        <v>No</v>
      </c>
    </row>
    <row r="241" customFormat="false" ht="15" hidden="false" customHeight="false" outlineLevel="0" collapsed="false">
      <c r="A241" s="2" t="s">
        <v>319</v>
      </c>
      <c r="B241" s="2" t="n">
        <v>38</v>
      </c>
      <c r="C241" s="2" t="n">
        <v>20</v>
      </c>
      <c r="D241" s="9" t="n">
        <v>46024.4805555556</v>
      </c>
      <c r="E241" s="10" t="n">
        <f aca="false">INT(D241)</f>
        <v>46024</v>
      </c>
      <c r="F241" s="2" t="n">
        <v>49</v>
      </c>
      <c r="G241" s="2" t="s">
        <v>57</v>
      </c>
      <c r="H241" s="2" t="s">
        <v>90</v>
      </c>
      <c r="I241" s="2" t="n">
        <v>59</v>
      </c>
      <c r="J241" s="2" t="str">
        <f aca="false">IFERROR(VLOOKUP($C241,merchants!$A$2:$D$41,2,FALSE()),"Merchant not found")</f>
        <v>Merchant_020</v>
      </c>
      <c r="K241" s="2" t="str">
        <f aca="false">IFERROR(VLOOKUP($C241,merchants!$A$2:$D$41,3,FALSE()),"Merchant not found")</f>
        <v>food_delivery</v>
      </c>
      <c r="L241" s="2" t="str">
        <f aca="false">IFERROR(VLOOKUP($C241,merchants!$A$2:$D$41,4,FALSE()),"Merchant not found")</f>
        <v>East</v>
      </c>
      <c r="M241" s="2" t="n">
        <f aca="false">SUMIFS($F$2:$F$548,$C$2:$C$548,C241,$E$2:$E$548,E241)</f>
        <v>49</v>
      </c>
      <c r="N241" s="2" t="str">
        <f aca="false">IF(AND(M241&gt;5000,L241&lt;&gt;"East"),"High-Value Merchant Day","No")</f>
        <v>No</v>
      </c>
    </row>
    <row r="242" customFormat="false" ht="15" hidden="false" customHeight="false" outlineLevel="0" collapsed="false">
      <c r="A242" s="2" t="s">
        <v>320</v>
      </c>
      <c r="B242" s="2" t="n">
        <v>189</v>
      </c>
      <c r="C242" s="2" t="n">
        <v>19</v>
      </c>
      <c r="D242" s="9" t="n">
        <v>46037.04375</v>
      </c>
      <c r="E242" s="10" t="n">
        <f aca="false">INT(D242)</f>
        <v>46037</v>
      </c>
      <c r="F242" s="2" t="n">
        <v>99</v>
      </c>
      <c r="G242" s="2" t="s">
        <v>56</v>
      </c>
      <c r="H242" s="2" t="s">
        <v>90</v>
      </c>
      <c r="I242" s="2" t="n">
        <v>9</v>
      </c>
      <c r="J242" s="2" t="str">
        <f aca="false">IFERROR(VLOOKUP($C242,merchants!$A$2:$D$41,2,FALSE()),"Merchant not found")</f>
        <v>Merchant_019</v>
      </c>
      <c r="K242" s="2" t="str">
        <f aca="false">IFERROR(VLOOKUP($C242,merchants!$A$2:$D$41,3,FALSE()),"Merchant not found")</f>
        <v>grocery</v>
      </c>
      <c r="L242" s="2" t="str">
        <f aca="false">IFERROR(VLOOKUP($C242,merchants!$A$2:$D$41,4,FALSE()),"Merchant not found")</f>
        <v>North</v>
      </c>
      <c r="M242" s="2" t="n">
        <f aca="false">SUMIFS($F$2:$F$548,$C$2:$C$548,C242,$E$2:$E$548,E242)</f>
        <v>398</v>
      </c>
      <c r="N242" s="2" t="str">
        <f aca="false">IF(AND(M242&gt;5000,L242&lt;&gt;"East"),"High-Value Merchant Day","No")</f>
        <v>No</v>
      </c>
    </row>
    <row r="243" customFormat="false" ht="15" hidden="false" customHeight="false" outlineLevel="0" collapsed="false">
      <c r="A243" s="2" t="s">
        <v>321</v>
      </c>
      <c r="B243" s="2" t="n">
        <v>305</v>
      </c>
      <c r="C243" s="2" t="n">
        <v>33</v>
      </c>
      <c r="D243" s="9" t="n">
        <v>46043.1104166667</v>
      </c>
      <c r="E243" s="10" t="n">
        <f aca="false">INT(D243)</f>
        <v>46043</v>
      </c>
      <c r="F243" s="2" t="n">
        <v>299</v>
      </c>
      <c r="G243" s="2" t="s">
        <v>58</v>
      </c>
      <c r="H243" s="2" t="s">
        <v>78</v>
      </c>
      <c r="I243" s="2" t="n">
        <v>49</v>
      </c>
      <c r="J243" s="2" t="str">
        <f aca="false">IFERROR(VLOOKUP($C243,merchants!$A$2:$D$41,2,FALSE()),"Merchant not found")</f>
        <v>Merchant_033</v>
      </c>
      <c r="K243" s="2" t="str">
        <f aca="false">IFERROR(VLOOKUP($C243,merchants!$A$2:$D$41,3,FALSE()),"Merchant not found")</f>
        <v>bill_payment</v>
      </c>
      <c r="L243" s="2" t="str">
        <f aca="false">IFERROR(VLOOKUP($C243,merchants!$A$2:$D$41,4,FALSE()),"Merchant not found")</f>
        <v>East</v>
      </c>
      <c r="M243" s="2" t="n">
        <f aca="false">SUMIFS($F$2:$F$548,$C$2:$C$548,C243,$E$2:$E$548,E243)</f>
        <v>3298</v>
      </c>
      <c r="N243" s="2" t="str">
        <f aca="false">IF(AND(M243&gt;5000,L243&lt;&gt;"East"),"High-Value Merchant Day","No")</f>
        <v>No</v>
      </c>
    </row>
    <row r="244" customFormat="false" ht="15" hidden="false" customHeight="false" outlineLevel="0" collapsed="false">
      <c r="A244" s="2" t="s">
        <v>322</v>
      </c>
      <c r="B244" s="2" t="n">
        <v>22</v>
      </c>
      <c r="C244" s="2" t="n">
        <v>29</v>
      </c>
      <c r="D244" s="9" t="n">
        <v>46037.7743055556</v>
      </c>
      <c r="E244" s="10" t="n">
        <f aca="false">INT(D244)</f>
        <v>46037</v>
      </c>
      <c r="F244" s="2" t="n">
        <v>799</v>
      </c>
      <c r="G244" s="2" t="s">
        <v>56</v>
      </c>
      <c r="H244" s="2" t="s">
        <v>78</v>
      </c>
      <c r="I244" s="2" t="n">
        <v>73</v>
      </c>
      <c r="J244" s="2" t="str">
        <f aca="false">IFERROR(VLOOKUP($C244,merchants!$A$2:$D$41,2,FALSE()),"Merchant not found")</f>
        <v>Merchant_029</v>
      </c>
      <c r="K244" s="2" t="str">
        <f aca="false">IFERROR(VLOOKUP($C244,merchants!$A$2:$D$41,3,FALSE()),"Merchant not found")</f>
        <v>ecommerce</v>
      </c>
      <c r="L244" s="2" t="str">
        <f aca="false">IFERROR(VLOOKUP($C244,merchants!$A$2:$D$41,4,FALSE()),"Merchant not found")</f>
        <v>North</v>
      </c>
      <c r="M244" s="2" t="n">
        <f aca="false">SUMIFS($F$2:$F$548,$C$2:$C$548,C244,$E$2:$E$548,E244)</f>
        <v>1098</v>
      </c>
      <c r="N244" s="2" t="str">
        <f aca="false">IF(AND(M244&gt;5000,L244&lt;&gt;"East"),"High-Value Merchant Day","No")</f>
        <v>No</v>
      </c>
    </row>
    <row r="245" customFormat="false" ht="15" hidden="false" customHeight="false" outlineLevel="0" collapsed="false">
      <c r="A245" s="2" t="s">
        <v>323</v>
      </c>
      <c r="B245" s="2" t="n">
        <v>310</v>
      </c>
      <c r="C245" s="2" t="n">
        <v>31</v>
      </c>
      <c r="D245" s="9" t="n">
        <v>46043.2638888889</v>
      </c>
      <c r="E245" s="10" t="n">
        <f aca="false">INT(D245)</f>
        <v>46043</v>
      </c>
      <c r="F245" s="2" t="n">
        <v>49</v>
      </c>
      <c r="G245" s="2" t="s">
        <v>58</v>
      </c>
      <c r="H245" s="2" t="s">
        <v>78</v>
      </c>
      <c r="I245" s="2" t="n">
        <v>64</v>
      </c>
      <c r="J245" s="2" t="str">
        <f aca="false">IFERROR(VLOOKUP($C245,merchants!$A$2:$D$41,2,FALSE()),"Merchant not found")</f>
        <v>Merchant_031</v>
      </c>
      <c r="K245" s="2" t="str">
        <f aca="false">IFERROR(VLOOKUP($C245,merchants!$A$2:$D$41,3,FALSE()),"Merchant not found")</f>
        <v>bill_payment</v>
      </c>
      <c r="L245" s="2" t="str">
        <f aca="false">IFERROR(VLOOKUP($C245,merchants!$A$2:$D$41,4,FALSE()),"Merchant not found")</f>
        <v>East</v>
      </c>
      <c r="M245" s="2" t="n">
        <f aca="false">SUMIFS($F$2:$F$548,$C$2:$C$548,C245,$E$2:$E$548,E245)</f>
        <v>49</v>
      </c>
      <c r="N245" s="2" t="str">
        <f aca="false">IF(AND(M245&gt;5000,L245&lt;&gt;"East"),"High-Value Merchant Day","No")</f>
        <v>No</v>
      </c>
    </row>
    <row r="246" customFormat="false" ht="15" hidden="false" customHeight="false" outlineLevel="0" collapsed="false">
      <c r="A246" s="2" t="s">
        <v>324</v>
      </c>
      <c r="B246" s="2" t="n">
        <v>53</v>
      </c>
      <c r="C246" s="2" t="n">
        <v>22</v>
      </c>
      <c r="D246" s="9" t="n">
        <v>46027.0611111111</v>
      </c>
      <c r="E246" s="10" t="n">
        <f aca="false">INT(D246)</f>
        <v>46027</v>
      </c>
      <c r="F246" s="2" t="n">
        <v>299</v>
      </c>
      <c r="G246" s="2" t="s">
        <v>56</v>
      </c>
      <c r="H246" s="2" t="s">
        <v>78</v>
      </c>
      <c r="I246" s="2" t="n">
        <v>91</v>
      </c>
      <c r="J246" s="2" t="str">
        <f aca="false">IFERROR(VLOOKUP($C246,merchants!$A$2:$D$41,2,FALSE()),"Merchant not found")</f>
        <v>Merchant_022</v>
      </c>
      <c r="K246" s="2" t="str">
        <f aca="false">IFERROR(VLOOKUP($C246,merchants!$A$2:$D$41,3,FALSE()),"Merchant not found")</f>
        <v>travel</v>
      </c>
      <c r="L246" s="2" t="str">
        <f aca="false">IFERROR(VLOOKUP($C246,merchants!$A$2:$D$41,4,FALSE()),"Merchant not found")</f>
        <v>South</v>
      </c>
      <c r="M246" s="2" t="n">
        <f aca="false">SUMIFS($F$2:$F$548,$C$2:$C$548,C246,$E$2:$E$548,E246)</f>
        <v>448</v>
      </c>
      <c r="N246" s="2" t="str">
        <f aca="false">IF(AND(M246&gt;5000,L246&lt;&gt;"East"),"High-Value Merchant Day","No")</f>
        <v>No</v>
      </c>
    </row>
    <row r="247" customFormat="false" ht="15" hidden="false" customHeight="false" outlineLevel="0" collapsed="false">
      <c r="A247" s="2" t="s">
        <v>325</v>
      </c>
      <c r="B247" s="2" t="n">
        <v>89</v>
      </c>
      <c r="C247" s="2" t="n">
        <v>3</v>
      </c>
      <c r="D247" s="9" t="n">
        <v>46025.6951388889</v>
      </c>
      <c r="E247" s="10" t="n">
        <f aca="false">INT(D247)</f>
        <v>46025</v>
      </c>
      <c r="F247" s="2" t="n">
        <v>149</v>
      </c>
      <c r="G247" s="2" t="s">
        <v>58</v>
      </c>
      <c r="H247" s="2" t="s">
        <v>78</v>
      </c>
      <c r="I247" s="2" t="n">
        <v>31</v>
      </c>
      <c r="J247" s="2" t="str">
        <f aca="false">IFERROR(VLOOKUP($C247,merchants!$A$2:$D$41,2,FALSE()),"Merchant not found")</f>
        <v>Merchant_003</v>
      </c>
      <c r="K247" s="2" t="str">
        <f aca="false">IFERROR(VLOOKUP($C247,merchants!$A$2:$D$41,3,FALSE()),"Merchant not found")</f>
        <v>grocery</v>
      </c>
      <c r="L247" s="2" t="str">
        <f aca="false">IFERROR(VLOOKUP($C247,merchants!$A$2:$D$41,4,FALSE()),"Merchant not found")</f>
        <v>East</v>
      </c>
      <c r="M247" s="2" t="n">
        <f aca="false">SUMIFS($F$2:$F$548,$C$2:$C$548,C247,$E$2:$E$548,E247)</f>
        <v>198</v>
      </c>
      <c r="N247" s="2" t="str">
        <f aca="false">IF(AND(M247&gt;5000,L247&lt;&gt;"East"),"High-Value Merchant Day","No")</f>
        <v>No</v>
      </c>
    </row>
    <row r="248" customFormat="false" ht="15" hidden="false" customHeight="false" outlineLevel="0" collapsed="false">
      <c r="A248" s="2" t="s">
        <v>326</v>
      </c>
      <c r="B248" s="2" t="n">
        <v>269</v>
      </c>
      <c r="C248" s="2" t="n">
        <v>34</v>
      </c>
      <c r="D248" s="9" t="n">
        <v>46045.6027777778</v>
      </c>
      <c r="E248" s="10" t="n">
        <f aca="false">INT(D248)</f>
        <v>46045</v>
      </c>
      <c r="F248" s="2" t="n">
        <v>149</v>
      </c>
      <c r="G248" s="2" t="s">
        <v>56</v>
      </c>
      <c r="H248" s="2" t="s">
        <v>78</v>
      </c>
      <c r="I248" s="2" t="n">
        <v>78</v>
      </c>
      <c r="J248" s="2" t="str">
        <f aca="false">IFERROR(VLOOKUP($C248,merchants!$A$2:$D$41,2,FALSE()),"Merchant not found")</f>
        <v>Merchant_034</v>
      </c>
      <c r="K248" s="2" t="str">
        <f aca="false">IFERROR(VLOOKUP($C248,merchants!$A$2:$D$41,3,FALSE()),"Merchant not found")</f>
        <v>travel</v>
      </c>
      <c r="L248" s="2" t="str">
        <f aca="false">IFERROR(VLOOKUP($C248,merchants!$A$2:$D$41,4,FALSE()),"Merchant not found")</f>
        <v>South</v>
      </c>
      <c r="M248" s="2" t="n">
        <f aca="false">SUMIFS($F$2:$F$548,$C$2:$C$548,C248,$E$2:$E$548,E248)</f>
        <v>3148</v>
      </c>
      <c r="N248" s="2" t="str">
        <f aca="false">IF(AND(M248&gt;5000,L248&lt;&gt;"East"),"High-Value Merchant Day","No")</f>
        <v>No</v>
      </c>
    </row>
    <row r="249" customFormat="false" ht="15" hidden="false" customHeight="false" outlineLevel="0" collapsed="false">
      <c r="A249" s="2" t="s">
        <v>327</v>
      </c>
      <c r="B249" s="2" t="n">
        <v>145</v>
      </c>
      <c r="C249" s="2" t="n">
        <v>25</v>
      </c>
      <c r="D249" s="9" t="n">
        <v>46028.4743055556</v>
      </c>
      <c r="E249" s="10" t="n">
        <f aca="false">INT(D249)</f>
        <v>46028</v>
      </c>
      <c r="F249" s="2" t="n">
        <v>799</v>
      </c>
      <c r="G249" s="2" t="s">
        <v>56</v>
      </c>
      <c r="H249" s="2" t="s">
        <v>78</v>
      </c>
      <c r="I249" s="2" t="n">
        <v>52</v>
      </c>
      <c r="J249" s="2" t="str">
        <f aca="false">IFERROR(VLOOKUP($C249,merchants!$A$2:$D$41,2,FALSE()),"Merchant not found")</f>
        <v>Merchant_025</v>
      </c>
      <c r="K249" s="2" t="str">
        <f aca="false">IFERROR(VLOOKUP($C249,merchants!$A$2:$D$41,3,FALSE()),"Merchant not found")</f>
        <v>travel</v>
      </c>
      <c r="L249" s="2" t="str">
        <f aca="false">IFERROR(VLOOKUP($C249,merchants!$A$2:$D$41,4,FALSE()),"Merchant not found")</f>
        <v>South</v>
      </c>
      <c r="M249" s="2" t="n">
        <f aca="false">SUMIFS($F$2:$F$548,$C$2:$C$548,C249,$E$2:$E$548,E249)</f>
        <v>898</v>
      </c>
      <c r="N249" s="2" t="str">
        <f aca="false">IF(AND(M249&gt;5000,L249&lt;&gt;"East"),"High-Value Merchant Day","No")</f>
        <v>No</v>
      </c>
    </row>
    <row r="250" customFormat="false" ht="15" hidden="false" customHeight="false" outlineLevel="0" collapsed="false">
      <c r="A250" s="2" t="s">
        <v>328</v>
      </c>
      <c r="B250" s="2" t="n">
        <v>307</v>
      </c>
      <c r="C250" s="2" t="n">
        <v>4</v>
      </c>
      <c r="D250" s="9" t="n">
        <v>46047.4465277778</v>
      </c>
      <c r="E250" s="10" t="n">
        <f aca="false">INT(D250)</f>
        <v>46047</v>
      </c>
      <c r="F250" s="2" t="n">
        <v>1499</v>
      </c>
      <c r="G250" s="2" t="s">
        <v>56</v>
      </c>
      <c r="H250" s="2" t="s">
        <v>78</v>
      </c>
      <c r="I250" s="2" t="n">
        <v>80</v>
      </c>
      <c r="J250" s="2" t="str">
        <f aca="false">IFERROR(VLOOKUP($C250,merchants!$A$2:$D$41,2,FALSE()),"Merchant not found")</f>
        <v>Merchant_004</v>
      </c>
      <c r="K250" s="2" t="str">
        <f aca="false">IFERROR(VLOOKUP($C250,merchants!$A$2:$D$41,3,FALSE()),"Merchant not found")</f>
        <v>ecommerce</v>
      </c>
      <c r="L250" s="2" t="str">
        <f aca="false">IFERROR(VLOOKUP($C250,merchants!$A$2:$D$41,4,FALSE()),"Merchant not found")</f>
        <v>East</v>
      </c>
      <c r="M250" s="2" t="n">
        <f aca="false">SUMIFS($F$2:$F$548,$C$2:$C$548,C250,$E$2:$E$548,E250)</f>
        <v>1998</v>
      </c>
      <c r="N250" s="2" t="str">
        <f aca="false">IF(AND(M250&gt;5000,L250&lt;&gt;"East"),"High-Value Merchant Day","No")</f>
        <v>No</v>
      </c>
    </row>
    <row r="251" customFormat="false" ht="15" hidden="false" customHeight="false" outlineLevel="0" collapsed="false">
      <c r="A251" s="2" t="s">
        <v>329</v>
      </c>
      <c r="B251" s="2" t="n">
        <v>169</v>
      </c>
      <c r="C251" s="2" t="n">
        <v>7</v>
      </c>
      <c r="D251" s="9" t="n">
        <v>46043.4194444444</v>
      </c>
      <c r="E251" s="10" t="n">
        <f aca="false">INT(D251)</f>
        <v>46043</v>
      </c>
      <c r="F251" s="2" t="n">
        <v>1499</v>
      </c>
      <c r="G251" s="2" t="s">
        <v>57</v>
      </c>
      <c r="H251" s="2" t="s">
        <v>78</v>
      </c>
      <c r="I251" s="2" t="n">
        <v>71</v>
      </c>
      <c r="J251" s="2" t="str">
        <f aca="false">IFERROR(VLOOKUP($C251,merchants!$A$2:$D$41,2,FALSE()),"Merchant not found")</f>
        <v>Merchant_007</v>
      </c>
      <c r="K251" s="2" t="str">
        <f aca="false">IFERROR(VLOOKUP($C251,merchants!$A$2:$D$41,3,FALSE()),"Merchant not found")</f>
        <v>food_delivery</v>
      </c>
      <c r="L251" s="2" t="str">
        <f aca="false">IFERROR(VLOOKUP($C251,merchants!$A$2:$D$41,4,FALSE()),"Merchant not found")</f>
        <v>East</v>
      </c>
      <c r="M251" s="2" t="n">
        <f aca="false">SUMIFS($F$2:$F$548,$C$2:$C$548,C251,$E$2:$E$548,E251)</f>
        <v>1499</v>
      </c>
      <c r="N251" s="2" t="str">
        <f aca="false">IF(AND(M251&gt;5000,L251&lt;&gt;"East"),"High-Value Merchant Day","No")</f>
        <v>No</v>
      </c>
    </row>
    <row r="252" customFormat="false" ht="15" hidden="false" customHeight="false" outlineLevel="0" collapsed="false">
      <c r="A252" s="2" t="s">
        <v>330</v>
      </c>
      <c r="B252" s="2" t="n">
        <v>130</v>
      </c>
      <c r="C252" s="2" t="n">
        <v>39</v>
      </c>
      <c r="D252" s="9" t="n">
        <v>46044.5125</v>
      </c>
      <c r="E252" s="10" t="n">
        <f aca="false">INT(D252)</f>
        <v>46044</v>
      </c>
      <c r="F252" s="2" t="n">
        <v>2999</v>
      </c>
      <c r="G252" s="2" t="s">
        <v>57</v>
      </c>
      <c r="H252" s="2" t="s">
        <v>78</v>
      </c>
      <c r="I252" s="2" t="n">
        <v>19</v>
      </c>
      <c r="J252" s="2" t="str">
        <f aca="false">IFERROR(VLOOKUP($C252,merchants!$A$2:$D$41,2,FALSE()),"Merchant not found")</f>
        <v>Merchant_039</v>
      </c>
      <c r="K252" s="2" t="str">
        <f aca="false">IFERROR(VLOOKUP($C252,merchants!$A$2:$D$41,3,FALSE()),"Merchant not found")</f>
        <v>entertainment</v>
      </c>
      <c r="L252" s="2" t="str">
        <f aca="false">IFERROR(VLOOKUP($C252,merchants!$A$2:$D$41,4,FALSE()),"Merchant not found")</f>
        <v>North</v>
      </c>
      <c r="M252" s="2" t="n">
        <f aca="false">SUMIFS($F$2:$F$548,$C$2:$C$548,C252,$E$2:$E$548,E252)</f>
        <v>9796</v>
      </c>
      <c r="N252" s="2" t="str">
        <f aca="false">IF(AND(M252&gt;5000,L252&lt;&gt;"East"),"High-Value Merchant Day","No")</f>
        <v>High-Value Merchant Day</v>
      </c>
    </row>
    <row r="253" customFormat="false" ht="15" hidden="false" customHeight="false" outlineLevel="0" collapsed="false">
      <c r="A253" s="2" t="s">
        <v>331</v>
      </c>
      <c r="B253" s="2" t="n">
        <v>340</v>
      </c>
      <c r="C253" s="2" t="n">
        <v>10</v>
      </c>
      <c r="D253" s="9" t="n">
        <v>46033.1090277778</v>
      </c>
      <c r="E253" s="10" t="n">
        <f aca="false">INT(D253)</f>
        <v>46033</v>
      </c>
      <c r="F253" s="2" t="n">
        <v>49</v>
      </c>
      <c r="G253" s="2" t="s">
        <v>58</v>
      </c>
      <c r="H253" s="2" t="s">
        <v>78</v>
      </c>
      <c r="I253" s="2" t="n">
        <v>44</v>
      </c>
      <c r="J253" s="2" t="str">
        <f aca="false">IFERROR(VLOOKUP($C253,merchants!$A$2:$D$41,2,FALSE()),"Merchant not found")</f>
        <v>Merchant_010</v>
      </c>
      <c r="K253" s="2" t="str">
        <f aca="false">IFERROR(VLOOKUP($C253,merchants!$A$2:$D$41,3,FALSE()),"Merchant not found")</f>
        <v>grocery</v>
      </c>
      <c r="L253" s="2" t="str">
        <f aca="false">IFERROR(VLOOKUP($C253,merchants!$A$2:$D$41,4,FALSE()),"Merchant not found")</f>
        <v>West</v>
      </c>
      <c r="M253" s="2" t="n">
        <f aca="false">SUMIFS($F$2:$F$548,$C$2:$C$548,C253,$E$2:$E$548,E253)</f>
        <v>98</v>
      </c>
      <c r="N253" s="2" t="str">
        <f aca="false">IF(AND(M253&gt;5000,L253&lt;&gt;"East"),"High-Value Merchant Day","No")</f>
        <v>No</v>
      </c>
    </row>
    <row r="254" customFormat="false" ht="15" hidden="false" customHeight="false" outlineLevel="0" collapsed="false">
      <c r="A254" s="2" t="s">
        <v>332</v>
      </c>
      <c r="B254" s="2" t="n">
        <v>340</v>
      </c>
      <c r="C254" s="2" t="n">
        <v>26</v>
      </c>
      <c r="D254" s="9" t="n">
        <v>46032.8638888889</v>
      </c>
      <c r="E254" s="10" t="n">
        <f aca="false">INT(D254)</f>
        <v>46032</v>
      </c>
      <c r="F254" s="2" t="n">
        <v>299</v>
      </c>
      <c r="G254" s="2" t="s">
        <v>58</v>
      </c>
      <c r="H254" s="2" t="s">
        <v>78</v>
      </c>
      <c r="I254" s="2" t="n">
        <v>16</v>
      </c>
      <c r="J254" s="2" t="str">
        <f aca="false">IFERROR(VLOOKUP($C254,merchants!$A$2:$D$41,2,FALSE()),"Merchant not found")</f>
        <v>Merchant_026</v>
      </c>
      <c r="K254" s="2" t="str">
        <f aca="false">IFERROR(VLOOKUP($C254,merchants!$A$2:$D$41,3,FALSE()),"Merchant not found")</f>
        <v>food_delivery</v>
      </c>
      <c r="L254" s="2" t="str">
        <f aca="false">IFERROR(VLOOKUP($C254,merchants!$A$2:$D$41,4,FALSE()),"Merchant not found")</f>
        <v>East</v>
      </c>
      <c r="M254" s="2" t="n">
        <f aca="false">SUMIFS($F$2:$F$548,$C$2:$C$548,C254,$E$2:$E$548,E254)</f>
        <v>299</v>
      </c>
      <c r="N254" s="2" t="str">
        <f aca="false">IF(AND(M254&gt;5000,L254&lt;&gt;"East"),"High-Value Merchant Day","No")</f>
        <v>No</v>
      </c>
    </row>
    <row r="255" customFormat="false" ht="15" hidden="false" customHeight="false" outlineLevel="0" collapsed="false">
      <c r="A255" s="2" t="s">
        <v>333</v>
      </c>
      <c r="B255" s="2" t="n">
        <v>159</v>
      </c>
      <c r="C255" s="2" t="n">
        <v>36</v>
      </c>
      <c r="D255" s="9" t="n">
        <v>46042.9201388889</v>
      </c>
      <c r="E255" s="10" t="n">
        <f aca="false">INT(D255)</f>
        <v>46042</v>
      </c>
      <c r="F255" s="2" t="n">
        <v>49</v>
      </c>
      <c r="G255" s="2" t="s">
        <v>56</v>
      </c>
      <c r="H255" s="2" t="s">
        <v>78</v>
      </c>
      <c r="I255" s="2" t="n">
        <v>48</v>
      </c>
      <c r="J255" s="2" t="str">
        <f aca="false">IFERROR(VLOOKUP($C255,merchants!$A$2:$D$41,2,FALSE()),"Merchant not found")</f>
        <v>Merchant_036</v>
      </c>
      <c r="K255" s="2" t="str">
        <f aca="false">IFERROR(VLOOKUP($C255,merchants!$A$2:$D$41,3,FALSE()),"Merchant not found")</f>
        <v>entertainment</v>
      </c>
      <c r="L255" s="2" t="str">
        <f aca="false">IFERROR(VLOOKUP($C255,merchants!$A$2:$D$41,4,FALSE()),"Merchant not found")</f>
        <v>East</v>
      </c>
      <c r="M255" s="2" t="n">
        <f aca="false">SUMIFS($F$2:$F$548,$C$2:$C$548,C255,$E$2:$E$548,E255)</f>
        <v>49</v>
      </c>
      <c r="N255" s="2" t="str">
        <f aca="false">IF(AND(M255&gt;5000,L255&lt;&gt;"East"),"High-Value Merchant Day","No")</f>
        <v>No</v>
      </c>
    </row>
    <row r="256" customFormat="false" ht="15" hidden="false" customHeight="false" outlineLevel="0" collapsed="false">
      <c r="A256" s="2" t="s">
        <v>334</v>
      </c>
      <c r="B256" s="2" t="n">
        <v>66</v>
      </c>
      <c r="C256" s="2" t="n">
        <v>34</v>
      </c>
      <c r="D256" s="9" t="n">
        <v>46043.4527777778</v>
      </c>
      <c r="E256" s="10" t="n">
        <f aca="false">INT(D256)</f>
        <v>46043</v>
      </c>
      <c r="F256" s="2" t="n">
        <v>799</v>
      </c>
      <c r="G256" s="2" t="s">
        <v>56</v>
      </c>
      <c r="H256" s="2" t="s">
        <v>78</v>
      </c>
      <c r="I256" s="2" t="n">
        <v>11</v>
      </c>
      <c r="J256" s="2" t="str">
        <f aca="false">IFERROR(VLOOKUP($C256,merchants!$A$2:$D$41,2,FALSE()),"Merchant not found")</f>
        <v>Merchant_034</v>
      </c>
      <c r="K256" s="2" t="str">
        <f aca="false">IFERROR(VLOOKUP($C256,merchants!$A$2:$D$41,3,FALSE()),"Merchant not found")</f>
        <v>travel</v>
      </c>
      <c r="L256" s="2" t="str">
        <f aca="false">IFERROR(VLOOKUP($C256,merchants!$A$2:$D$41,4,FALSE()),"Merchant not found")</f>
        <v>South</v>
      </c>
      <c r="M256" s="2" t="n">
        <f aca="false">SUMIFS($F$2:$F$548,$C$2:$C$548,C256,$E$2:$E$548,E256)</f>
        <v>799</v>
      </c>
      <c r="N256" s="2" t="str">
        <f aca="false">IF(AND(M256&gt;5000,L256&lt;&gt;"East"),"High-Value Merchant Day","No")</f>
        <v>No</v>
      </c>
    </row>
    <row r="257" customFormat="false" ht="15" hidden="false" customHeight="false" outlineLevel="0" collapsed="false">
      <c r="A257" s="2" t="s">
        <v>335</v>
      </c>
      <c r="B257" s="2" t="n">
        <v>261</v>
      </c>
      <c r="C257" s="2" t="n">
        <v>24</v>
      </c>
      <c r="D257" s="9" t="n">
        <v>46043.89375</v>
      </c>
      <c r="E257" s="10" t="n">
        <f aca="false">INT(D257)</f>
        <v>46043</v>
      </c>
      <c r="F257" s="2" t="n">
        <v>799</v>
      </c>
      <c r="G257" s="2" t="s">
        <v>58</v>
      </c>
      <c r="H257" s="2" t="s">
        <v>78</v>
      </c>
      <c r="I257" s="2" t="n">
        <v>2</v>
      </c>
      <c r="J257" s="2" t="str">
        <f aca="false">IFERROR(VLOOKUP($C257,merchants!$A$2:$D$41,2,FALSE()),"Merchant not found")</f>
        <v>Merchant_024</v>
      </c>
      <c r="K257" s="2" t="str">
        <f aca="false">IFERROR(VLOOKUP($C257,merchants!$A$2:$D$41,3,FALSE()),"Merchant not found")</f>
        <v>grocery</v>
      </c>
      <c r="L257" s="2" t="str">
        <f aca="false">IFERROR(VLOOKUP($C257,merchants!$A$2:$D$41,4,FALSE()),"Merchant not found")</f>
        <v>North</v>
      </c>
      <c r="M257" s="2" t="n">
        <f aca="false">SUMIFS($F$2:$F$548,$C$2:$C$548,C257,$E$2:$E$548,E257)</f>
        <v>799</v>
      </c>
      <c r="N257" s="2" t="str">
        <f aca="false">IF(AND(M257&gt;5000,L257&lt;&gt;"East"),"High-Value Merchant Day","No")</f>
        <v>No</v>
      </c>
    </row>
    <row r="258" customFormat="false" ht="15" hidden="false" customHeight="false" outlineLevel="0" collapsed="false">
      <c r="A258" s="2" t="s">
        <v>336</v>
      </c>
      <c r="B258" s="2" t="n">
        <v>110</v>
      </c>
      <c r="C258" s="2" t="n">
        <v>22</v>
      </c>
      <c r="D258" s="9" t="n">
        <v>46034.3826388889</v>
      </c>
      <c r="E258" s="10" t="n">
        <f aca="false">INT(D258)</f>
        <v>46034</v>
      </c>
      <c r="F258" s="2" t="n">
        <v>799</v>
      </c>
      <c r="G258" s="2" t="s">
        <v>56</v>
      </c>
      <c r="H258" s="2" t="s">
        <v>78</v>
      </c>
      <c r="I258" s="2" t="n">
        <v>98</v>
      </c>
      <c r="J258" s="2" t="str">
        <f aca="false">IFERROR(VLOOKUP($C258,merchants!$A$2:$D$41,2,FALSE()),"Merchant not found")</f>
        <v>Merchant_022</v>
      </c>
      <c r="K258" s="2" t="str">
        <f aca="false">IFERROR(VLOOKUP($C258,merchants!$A$2:$D$41,3,FALSE()),"Merchant not found")</f>
        <v>travel</v>
      </c>
      <c r="L258" s="2" t="str">
        <f aca="false">IFERROR(VLOOKUP($C258,merchants!$A$2:$D$41,4,FALSE()),"Merchant not found")</f>
        <v>South</v>
      </c>
      <c r="M258" s="2" t="n">
        <f aca="false">SUMIFS($F$2:$F$548,$C$2:$C$548,C258,$E$2:$E$548,E258)</f>
        <v>1697</v>
      </c>
      <c r="N258" s="2" t="str">
        <f aca="false">IF(AND(M258&gt;5000,L258&lt;&gt;"East"),"High-Value Merchant Day","No")</f>
        <v>No</v>
      </c>
    </row>
    <row r="259" customFormat="false" ht="15" hidden="false" customHeight="false" outlineLevel="0" collapsed="false">
      <c r="A259" s="2" t="s">
        <v>337</v>
      </c>
      <c r="B259" s="2" t="n">
        <v>71</v>
      </c>
      <c r="C259" s="2" t="n">
        <v>10</v>
      </c>
      <c r="D259" s="9" t="n">
        <v>46038.2597222222</v>
      </c>
      <c r="E259" s="10" t="n">
        <f aca="false">INT(D259)</f>
        <v>46038</v>
      </c>
      <c r="F259" s="2" t="n">
        <v>49</v>
      </c>
      <c r="G259" s="2" t="s">
        <v>56</v>
      </c>
      <c r="H259" s="2" t="s">
        <v>78</v>
      </c>
      <c r="I259" s="2" t="n">
        <v>9</v>
      </c>
      <c r="J259" s="2" t="str">
        <f aca="false">IFERROR(VLOOKUP($C259,merchants!$A$2:$D$41,2,FALSE()),"Merchant not found")</f>
        <v>Merchant_010</v>
      </c>
      <c r="K259" s="2" t="str">
        <f aca="false">IFERROR(VLOOKUP($C259,merchants!$A$2:$D$41,3,FALSE()),"Merchant not found")</f>
        <v>grocery</v>
      </c>
      <c r="L259" s="2" t="str">
        <f aca="false">IFERROR(VLOOKUP($C259,merchants!$A$2:$D$41,4,FALSE()),"Merchant not found")</f>
        <v>West</v>
      </c>
      <c r="M259" s="2" t="n">
        <f aca="false">SUMIFS($F$2:$F$548,$C$2:$C$548,C259,$E$2:$E$548,E259)</f>
        <v>49</v>
      </c>
      <c r="N259" s="2" t="str">
        <f aca="false">IF(AND(M259&gt;5000,L259&lt;&gt;"East"),"High-Value Merchant Day","No")</f>
        <v>No</v>
      </c>
    </row>
    <row r="260" customFormat="false" ht="15" hidden="false" customHeight="false" outlineLevel="0" collapsed="false">
      <c r="A260" s="2" t="s">
        <v>338</v>
      </c>
      <c r="B260" s="2" t="n">
        <v>277</v>
      </c>
      <c r="C260" s="2" t="n">
        <v>34</v>
      </c>
      <c r="D260" s="9" t="n">
        <v>46032.1472222222</v>
      </c>
      <c r="E260" s="10" t="n">
        <f aca="false">INT(D260)</f>
        <v>46032</v>
      </c>
      <c r="F260" s="2" t="n">
        <v>49</v>
      </c>
      <c r="G260" s="2" t="s">
        <v>56</v>
      </c>
      <c r="H260" s="2" t="s">
        <v>78</v>
      </c>
      <c r="I260" s="2" t="n">
        <v>4</v>
      </c>
      <c r="J260" s="2" t="str">
        <f aca="false">IFERROR(VLOOKUP($C260,merchants!$A$2:$D$41,2,FALSE()),"Merchant not found")</f>
        <v>Merchant_034</v>
      </c>
      <c r="K260" s="2" t="str">
        <f aca="false">IFERROR(VLOOKUP($C260,merchants!$A$2:$D$41,3,FALSE()),"Merchant not found")</f>
        <v>travel</v>
      </c>
      <c r="L260" s="2" t="str">
        <f aca="false">IFERROR(VLOOKUP($C260,merchants!$A$2:$D$41,4,FALSE()),"Merchant not found")</f>
        <v>South</v>
      </c>
      <c r="M260" s="2" t="n">
        <f aca="false">SUMIFS($F$2:$F$548,$C$2:$C$548,C260,$E$2:$E$548,E260)</f>
        <v>49</v>
      </c>
      <c r="N260" s="2" t="str">
        <f aca="false">IF(AND(M260&gt;5000,L260&lt;&gt;"East"),"High-Value Merchant Day","No")</f>
        <v>No</v>
      </c>
    </row>
    <row r="261" customFormat="false" ht="15" hidden="false" customHeight="false" outlineLevel="0" collapsed="false">
      <c r="A261" s="2" t="s">
        <v>339</v>
      </c>
      <c r="B261" s="2" t="n">
        <v>317</v>
      </c>
      <c r="C261" s="2" t="n">
        <v>9</v>
      </c>
      <c r="D261" s="9" t="n">
        <v>46044.4555555556</v>
      </c>
      <c r="E261" s="10" t="n">
        <f aca="false">INT(D261)</f>
        <v>46044</v>
      </c>
      <c r="F261" s="2" t="n">
        <v>499</v>
      </c>
      <c r="G261" s="2" t="s">
        <v>57</v>
      </c>
      <c r="H261" s="2" t="s">
        <v>78</v>
      </c>
      <c r="I261" s="2" t="n">
        <v>76</v>
      </c>
      <c r="J261" s="2" t="str">
        <f aca="false">IFERROR(VLOOKUP($C261,merchants!$A$2:$D$41,2,FALSE()),"Merchant not found")</f>
        <v>Merchant_009</v>
      </c>
      <c r="K261" s="2" t="str">
        <f aca="false">IFERROR(VLOOKUP($C261,merchants!$A$2:$D$41,3,FALSE()),"Merchant not found")</f>
        <v>ecommerce</v>
      </c>
      <c r="L261" s="2" t="str">
        <f aca="false">IFERROR(VLOOKUP($C261,merchants!$A$2:$D$41,4,FALSE()),"Merchant not found")</f>
        <v>North</v>
      </c>
      <c r="M261" s="2" t="n">
        <f aca="false">SUMIFS($F$2:$F$548,$C$2:$C$548,C261,$E$2:$E$548,E261)</f>
        <v>1298</v>
      </c>
      <c r="N261" s="2" t="str">
        <f aca="false">IF(AND(M261&gt;5000,L261&lt;&gt;"East"),"High-Value Merchant Day","No")</f>
        <v>No</v>
      </c>
    </row>
    <row r="262" customFormat="false" ht="15" hidden="false" customHeight="false" outlineLevel="0" collapsed="false">
      <c r="A262" s="2" t="s">
        <v>340</v>
      </c>
      <c r="B262" s="2" t="n">
        <v>93</v>
      </c>
      <c r="C262" s="2" t="n">
        <v>40</v>
      </c>
      <c r="D262" s="9" t="n">
        <v>46035.1736111111</v>
      </c>
      <c r="E262" s="10" t="n">
        <f aca="false">INT(D262)</f>
        <v>46035</v>
      </c>
      <c r="F262" s="2" t="n">
        <v>299</v>
      </c>
      <c r="G262" s="2" t="s">
        <v>56</v>
      </c>
      <c r="H262" s="2" t="s">
        <v>78</v>
      </c>
      <c r="I262" s="2" t="n">
        <v>21</v>
      </c>
      <c r="J262" s="2" t="str">
        <f aca="false">IFERROR(VLOOKUP($C262,merchants!$A$2:$D$41,2,FALSE()),"Merchant not found")</f>
        <v>Merchant_040</v>
      </c>
      <c r="K262" s="2" t="str">
        <f aca="false">IFERROR(VLOOKUP($C262,merchants!$A$2:$D$41,3,FALSE()),"Merchant not found")</f>
        <v>entertainment</v>
      </c>
      <c r="L262" s="2" t="str">
        <f aca="false">IFERROR(VLOOKUP($C262,merchants!$A$2:$D$41,4,FALSE()),"Merchant not found")</f>
        <v>South</v>
      </c>
      <c r="M262" s="2" t="n">
        <f aca="false">SUMIFS($F$2:$F$548,$C$2:$C$548,C262,$E$2:$E$548,E262)</f>
        <v>299</v>
      </c>
      <c r="N262" s="2" t="str">
        <f aca="false">IF(AND(M262&gt;5000,L262&lt;&gt;"East"),"High-Value Merchant Day","No")</f>
        <v>No</v>
      </c>
    </row>
    <row r="263" customFormat="false" ht="15" hidden="false" customHeight="false" outlineLevel="0" collapsed="false">
      <c r="A263" s="2" t="s">
        <v>341</v>
      </c>
      <c r="B263" s="2" t="n">
        <v>211</v>
      </c>
      <c r="C263" s="2" t="n">
        <v>24</v>
      </c>
      <c r="D263" s="9" t="n">
        <v>46046.5847222222</v>
      </c>
      <c r="E263" s="10" t="n">
        <f aca="false">INT(D263)</f>
        <v>46046</v>
      </c>
      <c r="F263" s="2" t="n">
        <v>99</v>
      </c>
      <c r="G263" s="2" t="s">
        <v>59</v>
      </c>
      <c r="H263" s="2" t="s">
        <v>78</v>
      </c>
      <c r="I263" s="2" t="n">
        <v>86</v>
      </c>
      <c r="J263" s="2" t="str">
        <f aca="false">IFERROR(VLOOKUP($C263,merchants!$A$2:$D$41,2,FALSE()),"Merchant not found")</f>
        <v>Merchant_024</v>
      </c>
      <c r="K263" s="2" t="str">
        <f aca="false">IFERROR(VLOOKUP($C263,merchants!$A$2:$D$41,3,FALSE()),"Merchant not found")</f>
        <v>grocery</v>
      </c>
      <c r="L263" s="2" t="str">
        <f aca="false">IFERROR(VLOOKUP($C263,merchants!$A$2:$D$41,4,FALSE()),"Merchant not found")</f>
        <v>North</v>
      </c>
      <c r="M263" s="2" t="n">
        <f aca="false">SUMIFS($F$2:$F$548,$C$2:$C$548,C263,$E$2:$E$548,E263)</f>
        <v>148</v>
      </c>
      <c r="N263" s="2" t="str">
        <f aca="false">IF(AND(M263&gt;5000,L263&lt;&gt;"East"),"High-Value Merchant Day","No")</f>
        <v>No</v>
      </c>
    </row>
    <row r="264" customFormat="false" ht="15" hidden="false" customHeight="false" outlineLevel="0" collapsed="false">
      <c r="A264" s="2" t="s">
        <v>342</v>
      </c>
      <c r="B264" s="2" t="n">
        <v>313</v>
      </c>
      <c r="C264" s="2" t="n">
        <v>19</v>
      </c>
      <c r="D264" s="9" t="n">
        <v>46046.3111111111</v>
      </c>
      <c r="E264" s="10" t="n">
        <f aca="false">INT(D264)</f>
        <v>46046</v>
      </c>
      <c r="F264" s="2" t="n">
        <v>149</v>
      </c>
      <c r="G264" s="2" t="s">
        <v>56</v>
      </c>
      <c r="H264" s="2" t="s">
        <v>78</v>
      </c>
      <c r="I264" s="2" t="n">
        <v>96</v>
      </c>
      <c r="J264" s="2" t="str">
        <f aca="false">IFERROR(VLOOKUP($C264,merchants!$A$2:$D$41,2,FALSE()),"Merchant not found")</f>
        <v>Merchant_019</v>
      </c>
      <c r="K264" s="2" t="str">
        <f aca="false">IFERROR(VLOOKUP($C264,merchants!$A$2:$D$41,3,FALSE()),"Merchant not found")</f>
        <v>grocery</v>
      </c>
      <c r="L264" s="2" t="str">
        <f aca="false">IFERROR(VLOOKUP($C264,merchants!$A$2:$D$41,4,FALSE()),"Merchant not found")</f>
        <v>North</v>
      </c>
      <c r="M264" s="2" t="n">
        <f aca="false">SUMIFS($F$2:$F$548,$C$2:$C$548,C264,$E$2:$E$548,E264)</f>
        <v>149</v>
      </c>
      <c r="N264" s="2" t="str">
        <f aca="false">IF(AND(M264&gt;5000,L264&lt;&gt;"East"),"High-Value Merchant Day","No")</f>
        <v>No</v>
      </c>
    </row>
    <row r="265" customFormat="false" ht="15" hidden="false" customHeight="false" outlineLevel="0" collapsed="false">
      <c r="A265" s="2" t="s">
        <v>343</v>
      </c>
      <c r="B265" s="2" t="n">
        <v>274</v>
      </c>
      <c r="C265" s="2" t="n">
        <v>16</v>
      </c>
      <c r="D265" s="9" t="n">
        <v>46046.5930555556</v>
      </c>
      <c r="E265" s="10" t="n">
        <f aca="false">INT(D265)</f>
        <v>46046</v>
      </c>
      <c r="F265" s="2" t="n">
        <v>49</v>
      </c>
      <c r="G265" s="2" t="s">
        <v>57</v>
      </c>
      <c r="H265" s="2" t="s">
        <v>90</v>
      </c>
      <c r="I265" s="2" t="n">
        <v>39</v>
      </c>
      <c r="J265" s="2" t="str">
        <f aca="false">IFERROR(VLOOKUP($C265,merchants!$A$2:$D$41,2,FALSE()),"Merchant not found")</f>
        <v>Merchant_016</v>
      </c>
      <c r="K265" s="2" t="str">
        <f aca="false">IFERROR(VLOOKUP($C265,merchants!$A$2:$D$41,3,FALSE()),"Merchant not found")</f>
        <v>bill_payment</v>
      </c>
      <c r="L265" s="2" t="str">
        <f aca="false">IFERROR(VLOOKUP($C265,merchants!$A$2:$D$41,4,FALSE()),"Merchant not found")</f>
        <v>West</v>
      </c>
      <c r="M265" s="2" t="n">
        <f aca="false">SUMIFS($F$2:$F$548,$C$2:$C$548,C265,$E$2:$E$548,E265)</f>
        <v>1548</v>
      </c>
      <c r="N265" s="2" t="str">
        <f aca="false">IF(AND(M265&gt;5000,L265&lt;&gt;"East"),"High-Value Merchant Day","No")</f>
        <v>No</v>
      </c>
    </row>
    <row r="266" customFormat="false" ht="15" hidden="false" customHeight="false" outlineLevel="0" collapsed="false">
      <c r="A266" s="2" t="s">
        <v>344</v>
      </c>
      <c r="B266" s="2" t="n">
        <v>100</v>
      </c>
      <c r="C266" s="2" t="n">
        <v>24</v>
      </c>
      <c r="D266" s="9" t="n">
        <v>46048.6645833333</v>
      </c>
      <c r="E266" s="10" t="n">
        <f aca="false">INT(D266)</f>
        <v>46048</v>
      </c>
      <c r="F266" s="2" t="n">
        <v>299</v>
      </c>
      <c r="G266" s="2" t="s">
        <v>56</v>
      </c>
      <c r="H266" s="2" t="s">
        <v>78</v>
      </c>
      <c r="I266" s="2" t="n">
        <v>86</v>
      </c>
      <c r="J266" s="2" t="str">
        <f aca="false">IFERROR(VLOOKUP($C266,merchants!$A$2:$D$41,2,FALSE()),"Merchant not found")</f>
        <v>Merchant_024</v>
      </c>
      <c r="K266" s="2" t="str">
        <f aca="false">IFERROR(VLOOKUP($C266,merchants!$A$2:$D$41,3,FALSE()),"Merchant not found")</f>
        <v>grocery</v>
      </c>
      <c r="L266" s="2" t="str">
        <f aca="false">IFERROR(VLOOKUP($C266,merchants!$A$2:$D$41,4,FALSE()),"Merchant not found")</f>
        <v>North</v>
      </c>
      <c r="M266" s="2" t="n">
        <f aca="false">SUMIFS($F$2:$F$548,$C$2:$C$548,C266,$E$2:$E$548,E266)</f>
        <v>348</v>
      </c>
      <c r="N266" s="2" t="str">
        <f aca="false">IF(AND(M266&gt;5000,L266&lt;&gt;"East"),"High-Value Merchant Day","No")</f>
        <v>No</v>
      </c>
    </row>
    <row r="267" customFormat="false" ht="15" hidden="false" customHeight="false" outlineLevel="0" collapsed="false">
      <c r="A267" s="2" t="s">
        <v>345</v>
      </c>
      <c r="B267" s="2" t="n">
        <v>145</v>
      </c>
      <c r="C267" s="2" t="n">
        <v>25</v>
      </c>
      <c r="D267" s="9" t="n">
        <v>46041.6034722222</v>
      </c>
      <c r="E267" s="10" t="n">
        <f aca="false">INT(D267)</f>
        <v>46041</v>
      </c>
      <c r="F267" s="2" t="n">
        <v>2999</v>
      </c>
      <c r="G267" s="2" t="s">
        <v>57</v>
      </c>
      <c r="H267" s="2" t="s">
        <v>78</v>
      </c>
      <c r="I267" s="2" t="n">
        <v>64</v>
      </c>
      <c r="J267" s="2" t="str">
        <f aca="false">IFERROR(VLOOKUP($C267,merchants!$A$2:$D$41,2,FALSE()),"Merchant not found")</f>
        <v>Merchant_025</v>
      </c>
      <c r="K267" s="2" t="str">
        <f aca="false">IFERROR(VLOOKUP($C267,merchants!$A$2:$D$41,3,FALSE()),"Merchant not found")</f>
        <v>travel</v>
      </c>
      <c r="L267" s="2" t="str">
        <f aca="false">IFERROR(VLOOKUP($C267,merchants!$A$2:$D$41,4,FALSE()),"Merchant not found")</f>
        <v>South</v>
      </c>
      <c r="M267" s="2" t="n">
        <f aca="false">SUMIFS($F$2:$F$548,$C$2:$C$548,C267,$E$2:$E$548,E267)</f>
        <v>4498</v>
      </c>
      <c r="N267" s="2" t="str">
        <f aca="false">IF(AND(M267&gt;5000,L267&lt;&gt;"East"),"High-Value Merchant Day","No")</f>
        <v>No</v>
      </c>
    </row>
    <row r="268" customFormat="false" ht="15" hidden="false" customHeight="false" outlineLevel="0" collapsed="false">
      <c r="A268" s="2" t="s">
        <v>346</v>
      </c>
      <c r="B268" s="2" t="n">
        <v>103</v>
      </c>
      <c r="C268" s="2" t="n">
        <v>39</v>
      </c>
      <c r="D268" s="9" t="n">
        <v>46039.5486111111</v>
      </c>
      <c r="E268" s="10" t="n">
        <f aca="false">INT(D268)</f>
        <v>46039</v>
      </c>
      <c r="F268" s="2" t="n">
        <v>2999</v>
      </c>
      <c r="G268" s="2" t="s">
        <v>57</v>
      </c>
      <c r="H268" s="2" t="s">
        <v>78</v>
      </c>
      <c r="I268" s="2" t="n">
        <v>17</v>
      </c>
      <c r="J268" s="2" t="str">
        <f aca="false">IFERROR(VLOOKUP($C268,merchants!$A$2:$D$41,2,FALSE()),"Merchant not found")</f>
        <v>Merchant_039</v>
      </c>
      <c r="K268" s="2" t="str">
        <f aca="false">IFERROR(VLOOKUP($C268,merchants!$A$2:$D$41,3,FALSE()),"Merchant not found")</f>
        <v>entertainment</v>
      </c>
      <c r="L268" s="2" t="str">
        <f aca="false">IFERROR(VLOOKUP($C268,merchants!$A$2:$D$41,4,FALSE()),"Merchant not found")</f>
        <v>North</v>
      </c>
      <c r="M268" s="2" t="n">
        <f aca="false">SUMIFS($F$2:$F$548,$C$2:$C$548,C268,$E$2:$E$548,E268)</f>
        <v>2999</v>
      </c>
      <c r="N268" s="2" t="str">
        <f aca="false">IF(AND(M268&gt;5000,L268&lt;&gt;"East"),"High-Value Merchant Day","No")</f>
        <v>No</v>
      </c>
    </row>
    <row r="269" customFormat="false" ht="15" hidden="false" customHeight="false" outlineLevel="0" collapsed="false">
      <c r="A269" s="2" t="s">
        <v>347</v>
      </c>
      <c r="B269" s="2" t="n">
        <v>329</v>
      </c>
      <c r="C269" s="2" t="n">
        <v>31</v>
      </c>
      <c r="D269" s="9" t="n">
        <v>46050.3354166667</v>
      </c>
      <c r="E269" s="10" t="n">
        <f aca="false">INT(D269)</f>
        <v>46050</v>
      </c>
      <c r="F269" s="2" t="n">
        <v>299</v>
      </c>
      <c r="G269" s="2" t="s">
        <v>57</v>
      </c>
      <c r="H269" s="2" t="s">
        <v>78</v>
      </c>
      <c r="I269" s="2" t="n">
        <v>47</v>
      </c>
      <c r="J269" s="2" t="str">
        <f aca="false">IFERROR(VLOOKUP($C269,merchants!$A$2:$D$41,2,FALSE()),"Merchant not found")</f>
        <v>Merchant_031</v>
      </c>
      <c r="K269" s="2" t="str">
        <f aca="false">IFERROR(VLOOKUP($C269,merchants!$A$2:$D$41,3,FALSE()),"Merchant not found")</f>
        <v>bill_payment</v>
      </c>
      <c r="L269" s="2" t="str">
        <f aca="false">IFERROR(VLOOKUP($C269,merchants!$A$2:$D$41,4,FALSE()),"Merchant not found")</f>
        <v>East</v>
      </c>
      <c r="M269" s="2" t="n">
        <f aca="false">SUMIFS($F$2:$F$548,$C$2:$C$548,C269,$E$2:$E$548,E269)</f>
        <v>299</v>
      </c>
      <c r="N269" s="2" t="str">
        <f aca="false">IF(AND(M269&gt;5000,L269&lt;&gt;"East"),"High-Value Merchant Day","No")</f>
        <v>No</v>
      </c>
    </row>
    <row r="270" customFormat="false" ht="15" hidden="false" customHeight="false" outlineLevel="0" collapsed="false">
      <c r="A270" s="2" t="s">
        <v>348</v>
      </c>
      <c r="B270" s="2" t="n">
        <v>265</v>
      </c>
      <c r="C270" s="2" t="n">
        <v>8</v>
      </c>
      <c r="D270" s="9" t="n">
        <v>46040.15625</v>
      </c>
      <c r="E270" s="10" t="n">
        <f aca="false">INT(D270)</f>
        <v>46040</v>
      </c>
      <c r="F270" s="2" t="n">
        <v>499</v>
      </c>
      <c r="G270" s="2" t="s">
        <v>59</v>
      </c>
      <c r="H270" s="2" t="s">
        <v>78</v>
      </c>
      <c r="I270" s="2" t="n">
        <v>36</v>
      </c>
      <c r="J270" s="2" t="str">
        <f aca="false">IFERROR(VLOOKUP($C270,merchants!$A$2:$D$41,2,FALSE()),"Merchant not found")</f>
        <v>Merchant_008</v>
      </c>
      <c r="K270" s="2" t="str">
        <f aca="false">IFERROR(VLOOKUP($C270,merchants!$A$2:$D$41,3,FALSE()),"Merchant not found")</f>
        <v>food_delivery</v>
      </c>
      <c r="L270" s="2" t="str">
        <f aca="false">IFERROR(VLOOKUP($C270,merchants!$A$2:$D$41,4,FALSE()),"Merchant not found")</f>
        <v>North</v>
      </c>
      <c r="M270" s="2" t="n">
        <f aca="false">SUMIFS($F$2:$F$548,$C$2:$C$548,C270,$E$2:$E$548,E270)</f>
        <v>499</v>
      </c>
      <c r="N270" s="2" t="str">
        <f aca="false">IF(AND(M270&gt;5000,L270&lt;&gt;"East"),"High-Value Merchant Day","No")</f>
        <v>No</v>
      </c>
    </row>
    <row r="271" customFormat="false" ht="15" hidden="false" customHeight="false" outlineLevel="0" collapsed="false">
      <c r="A271" s="2" t="s">
        <v>349</v>
      </c>
      <c r="B271" s="2" t="n">
        <v>231</v>
      </c>
      <c r="C271" s="2" t="n">
        <v>33</v>
      </c>
      <c r="D271" s="9" t="n">
        <v>46025.2201388889</v>
      </c>
      <c r="E271" s="10" t="n">
        <f aca="false">INT(D271)</f>
        <v>46025</v>
      </c>
      <c r="F271" s="2" t="n">
        <v>149</v>
      </c>
      <c r="G271" s="2" t="s">
        <v>56</v>
      </c>
      <c r="H271" s="2" t="s">
        <v>90</v>
      </c>
      <c r="I271" s="2" t="n">
        <v>18</v>
      </c>
      <c r="J271" s="2" t="str">
        <f aca="false">IFERROR(VLOOKUP($C271,merchants!$A$2:$D$41,2,FALSE()),"Merchant not found")</f>
        <v>Merchant_033</v>
      </c>
      <c r="K271" s="2" t="str">
        <f aca="false">IFERROR(VLOOKUP($C271,merchants!$A$2:$D$41,3,FALSE()),"Merchant not found")</f>
        <v>bill_payment</v>
      </c>
      <c r="L271" s="2" t="str">
        <f aca="false">IFERROR(VLOOKUP($C271,merchants!$A$2:$D$41,4,FALSE()),"Merchant not found")</f>
        <v>East</v>
      </c>
      <c r="M271" s="2" t="n">
        <f aca="false">SUMIFS($F$2:$F$548,$C$2:$C$548,C271,$E$2:$E$548,E271)</f>
        <v>149</v>
      </c>
      <c r="N271" s="2" t="str">
        <f aca="false">IF(AND(M271&gt;5000,L271&lt;&gt;"East"),"High-Value Merchant Day","No")</f>
        <v>No</v>
      </c>
    </row>
    <row r="272" customFormat="false" ht="15" hidden="false" customHeight="false" outlineLevel="0" collapsed="false">
      <c r="A272" s="2" t="s">
        <v>350</v>
      </c>
      <c r="B272" s="2" t="n">
        <v>114</v>
      </c>
      <c r="C272" s="2" t="n">
        <v>29</v>
      </c>
      <c r="D272" s="9" t="n">
        <v>46049.5451388889</v>
      </c>
      <c r="E272" s="10" t="n">
        <f aca="false">INT(D272)</f>
        <v>46049</v>
      </c>
      <c r="F272" s="2" t="n">
        <v>799</v>
      </c>
      <c r="G272" s="2" t="s">
        <v>56</v>
      </c>
      <c r="H272" s="2" t="s">
        <v>103</v>
      </c>
      <c r="I272" s="2" t="n">
        <v>44</v>
      </c>
      <c r="J272" s="2" t="str">
        <f aca="false">IFERROR(VLOOKUP($C272,merchants!$A$2:$D$41,2,FALSE()),"Merchant not found")</f>
        <v>Merchant_029</v>
      </c>
      <c r="K272" s="2" t="str">
        <f aca="false">IFERROR(VLOOKUP($C272,merchants!$A$2:$D$41,3,FALSE()),"Merchant not found")</f>
        <v>ecommerce</v>
      </c>
      <c r="L272" s="2" t="str">
        <f aca="false">IFERROR(VLOOKUP($C272,merchants!$A$2:$D$41,4,FALSE()),"Merchant not found")</f>
        <v>North</v>
      </c>
      <c r="M272" s="2" t="n">
        <f aca="false">SUMIFS($F$2:$F$548,$C$2:$C$548,C272,$E$2:$E$548,E272)</f>
        <v>898</v>
      </c>
      <c r="N272" s="2" t="str">
        <f aca="false">IF(AND(M272&gt;5000,L272&lt;&gt;"East"),"High-Value Merchant Day","No")</f>
        <v>No</v>
      </c>
    </row>
    <row r="273" customFormat="false" ht="15" hidden="false" customHeight="false" outlineLevel="0" collapsed="false">
      <c r="A273" s="2" t="s">
        <v>351</v>
      </c>
      <c r="B273" s="2" t="n">
        <v>28</v>
      </c>
      <c r="C273" s="2" t="n">
        <v>26</v>
      </c>
      <c r="D273" s="9" t="n">
        <v>46052.0180555556</v>
      </c>
      <c r="E273" s="10" t="n">
        <f aca="false">INT(D273)</f>
        <v>46052</v>
      </c>
      <c r="F273" s="2" t="n">
        <v>1499</v>
      </c>
      <c r="G273" s="2" t="s">
        <v>56</v>
      </c>
      <c r="H273" s="2" t="s">
        <v>90</v>
      </c>
      <c r="I273" s="2" t="n">
        <v>64</v>
      </c>
      <c r="J273" s="2" t="str">
        <f aca="false">IFERROR(VLOOKUP($C273,merchants!$A$2:$D$41,2,FALSE()),"Merchant not found")</f>
        <v>Merchant_026</v>
      </c>
      <c r="K273" s="2" t="str">
        <f aca="false">IFERROR(VLOOKUP($C273,merchants!$A$2:$D$41,3,FALSE()),"Merchant not found")</f>
        <v>food_delivery</v>
      </c>
      <c r="L273" s="2" t="str">
        <f aca="false">IFERROR(VLOOKUP($C273,merchants!$A$2:$D$41,4,FALSE()),"Merchant not found")</f>
        <v>East</v>
      </c>
      <c r="M273" s="2" t="n">
        <f aca="false">SUMIFS($F$2:$F$548,$C$2:$C$548,C273,$E$2:$E$548,E273)</f>
        <v>1499</v>
      </c>
      <c r="N273" s="2" t="str">
        <f aca="false">IF(AND(M273&gt;5000,L273&lt;&gt;"East"),"High-Value Merchant Day","No")</f>
        <v>No</v>
      </c>
    </row>
    <row r="274" customFormat="false" ht="15" hidden="false" customHeight="false" outlineLevel="0" collapsed="false">
      <c r="A274" s="2" t="s">
        <v>352</v>
      </c>
      <c r="B274" s="2" t="n">
        <v>42</v>
      </c>
      <c r="C274" s="2" t="n">
        <v>24</v>
      </c>
      <c r="D274" s="9" t="n">
        <v>46034.3083333333</v>
      </c>
      <c r="E274" s="10" t="n">
        <f aca="false">INT(D274)</f>
        <v>46034</v>
      </c>
      <c r="F274" s="2" t="n">
        <v>149</v>
      </c>
      <c r="G274" s="2" t="s">
        <v>56</v>
      </c>
      <c r="H274" s="2" t="s">
        <v>78</v>
      </c>
      <c r="I274" s="2" t="n">
        <v>28</v>
      </c>
      <c r="J274" s="2" t="str">
        <f aca="false">IFERROR(VLOOKUP($C274,merchants!$A$2:$D$41,2,FALSE()),"Merchant not found")</f>
        <v>Merchant_024</v>
      </c>
      <c r="K274" s="2" t="str">
        <f aca="false">IFERROR(VLOOKUP($C274,merchants!$A$2:$D$41,3,FALSE()),"Merchant not found")</f>
        <v>grocery</v>
      </c>
      <c r="L274" s="2" t="str">
        <f aca="false">IFERROR(VLOOKUP($C274,merchants!$A$2:$D$41,4,FALSE()),"Merchant not found")</f>
        <v>North</v>
      </c>
      <c r="M274" s="2" t="n">
        <f aca="false">SUMIFS($F$2:$F$548,$C$2:$C$548,C274,$E$2:$E$548,E274)</f>
        <v>149</v>
      </c>
      <c r="N274" s="2" t="str">
        <f aca="false">IF(AND(M274&gt;5000,L274&lt;&gt;"East"),"High-Value Merchant Day","No")</f>
        <v>No</v>
      </c>
    </row>
    <row r="275" customFormat="false" ht="15" hidden="false" customHeight="false" outlineLevel="0" collapsed="false">
      <c r="A275" s="2" t="s">
        <v>353</v>
      </c>
      <c r="B275" s="2" t="n">
        <v>51</v>
      </c>
      <c r="C275" s="2" t="n">
        <v>22</v>
      </c>
      <c r="D275" s="9" t="n">
        <v>46023.4576388889</v>
      </c>
      <c r="E275" s="10" t="n">
        <f aca="false">INT(D275)</f>
        <v>46023</v>
      </c>
      <c r="F275" s="2" t="n">
        <v>799</v>
      </c>
      <c r="G275" s="2" t="s">
        <v>56</v>
      </c>
      <c r="H275" s="2" t="s">
        <v>78</v>
      </c>
      <c r="I275" s="2" t="n">
        <v>18</v>
      </c>
      <c r="J275" s="2" t="str">
        <f aca="false">IFERROR(VLOOKUP($C275,merchants!$A$2:$D$41,2,FALSE()),"Merchant not found")</f>
        <v>Merchant_022</v>
      </c>
      <c r="K275" s="2" t="str">
        <f aca="false">IFERROR(VLOOKUP($C275,merchants!$A$2:$D$41,3,FALSE()),"Merchant not found")</f>
        <v>travel</v>
      </c>
      <c r="L275" s="2" t="str">
        <f aca="false">IFERROR(VLOOKUP($C275,merchants!$A$2:$D$41,4,FALSE()),"Merchant not found")</f>
        <v>South</v>
      </c>
      <c r="M275" s="2" t="n">
        <f aca="false">SUMIFS($F$2:$F$548,$C$2:$C$548,C275,$E$2:$E$548,E275)</f>
        <v>799</v>
      </c>
      <c r="N275" s="2" t="str">
        <f aca="false">IF(AND(M275&gt;5000,L275&lt;&gt;"East"),"High-Value Merchant Day","No")</f>
        <v>No</v>
      </c>
    </row>
    <row r="276" customFormat="false" ht="15" hidden="false" customHeight="false" outlineLevel="0" collapsed="false">
      <c r="A276" s="2" t="s">
        <v>354</v>
      </c>
      <c r="B276" s="2" t="n">
        <v>242</v>
      </c>
      <c r="C276" s="2" t="n">
        <v>9</v>
      </c>
      <c r="D276" s="9" t="n">
        <v>46027.0541666667</v>
      </c>
      <c r="E276" s="10" t="n">
        <f aca="false">INT(D276)</f>
        <v>46027</v>
      </c>
      <c r="F276" s="2" t="n">
        <v>149</v>
      </c>
      <c r="G276" s="2" t="s">
        <v>56</v>
      </c>
      <c r="H276" s="2" t="s">
        <v>78</v>
      </c>
      <c r="I276" s="2" t="n">
        <v>97</v>
      </c>
      <c r="J276" s="2" t="str">
        <f aca="false">IFERROR(VLOOKUP($C276,merchants!$A$2:$D$41,2,FALSE()),"Merchant not found")</f>
        <v>Merchant_009</v>
      </c>
      <c r="K276" s="2" t="str">
        <f aca="false">IFERROR(VLOOKUP($C276,merchants!$A$2:$D$41,3,FALSE()),"Merchant not found")</f>
        <v>ecommerce</v>
      </c>
      <c r="L276" s="2" t="str">
        <f aca="false">IFERROR(VLOOKUP($C276,merchants!$A$2:$D$41,4,FALSE()),"Merchant not found")</f>
        <v>North</v>
      </c>
      <c r="M276" s="2" t="n">
        <f aca="false">SUMIFS($F$2:$F$548,$C$2:$C$548,C276,$E$2:$E$548,E276)</f>
        <v>149</v>
      </c>
      <c r="N276" s="2" t="str">
        <f aca="false">IF(AND(M276&gt;5000,L276&lt;&gt;"East"),"High-Value Merchant Day","No")</f>
        <v>No</v>
      </c>
    </row>
    <row r="277" customFormat="false" ht="15" hidden="false" customHeight="false" outlineLevel="0" collapsed="false">
      <c r="A277" s="2" t="s">
        <v>355</v>
      </c>
      <c r="B277" s="2" t="n">
        <v>316</v>
      </c>
      <c r="C277" s="2" t="n">
        <v>1</v>
      </c>
      <c r="D277" s="9" t="n">
        <v>46045.6444444444</v>
      </c>
      <c r="E277" s="10" t="n">
        <f aca="false">INT(D277)</f>
        <v>46045</v>
      </c>
      <c r="F277" s="2" t="n">
        <v>149</v>
      </c>
      <c r="G277" s="2" t="s">
        <v>56</v>
      </c>
      <c r="H277" s="2" t="s">
        <v>78</v>
      </c>
      <c r="I277" s="2" t="n">
        <v>10</v>
      </c>
      <c r="J277" s="2" t="str">
        <f aca="false">IFERROR(VLOOKUP($C277,merchants!$A$2:$D$41,2,FALSE()),"Merchant not found")</f>
        <v>Merchant_001</v>
      </c>
      <c r="K277" s="2" t="str">
        <f aca="false">IFERROR(VLOOKUP($C277,merchants!$A$2:$D$41,3,FALSE()),"Merchant not found")</f>
        <v>ecommerce</v>
      </c>
      <c r="L277" s="2" t="str">
        <f aca="false">IFERROR(VLOOKUP($C277,merchants!$A$2:$D$41,4,FALSE()),"Merchant not found")</f>
        <v>South</v>
      </c>
      <c r="M277" s="2" t="n">
        <f aca="false">SUMIFS($F$2:$F$548,$C$2:$C$548,C277,$E$2:$E$548,E277)</f>
        <v>3148</v>
      </c>
      <c r="N277" s="2" t="str">
        <f aca="false">IF(AND(M277&gt;5000,L277&lt;&gt;"East"),"High-Value Merchant Day","No")</f>
        <v>No</v>
      </c>
    </row>
    <row r="278" customFormat="false" ht="15" hidden="false" customHeight="false" outlineLevel="0" collapsed="false">
      <c r="A278" s="2" t="s">
        <v>356</v>
      </c>
      <c r="B278" s="2" t="n">
        <v>77</v>
      </c>
      <c r="C278" s="2" t="n">
        <v>36</v>
      </c>
      <c r="D278" s="9" t="n">
        <v>46023.3423611111</v>
      </c>
      <c r="E278" s="10" t="n">
        <f aca="false">INT(D278)</f>
        <v>46023</v>
      </c>
      <c r="F278" s="2" t="n">
        <v>149</v>
      </c>
      <c r="G278" s="2" t="s">
        <v>56</v>
      </c>
      <c r="H278" s="2" t="s">
        <v>78</v>
      </c>
      <c r="I278" s="2" t="n">
        <v>93</v>
      </c>
      <c r="J278" s="2" t="str">
        <f aca="false">IFERROR(VLOOKUP($C278,merchants!$A$2:$D$41,2,FALSE()),"Merchant not found")</f>
        <v>Merchant_036</v>
      </c>
      <c r="K278" s="2" t="str">
        <f aca="false">IFERROR(VLOOKUP($C278,merchants!$A$2:$D$41,3,FALSE()),"Merchant not found")</f>
        <v>entertainment</v>
      </c>
      <c r="L278" s="2" t="str">
        <f aca="false">IFERROR(VLOOKUP($C278,merchants!$A$2:$D$41,4,FALSE()),"Merchant not found")</f>
        <v>East</v>
      </c>
      <c r="M278" s="2" t="n">
        <f aca="false">SUMIFS($F$2:$F$548,$C$2:$C$548,C278,$E$2:$E$548,E278)</f>
        <v>149</v>
      </c>
      <c r="N278" s="2" t="str">
        <f aca="false">IF(AND(M278&gt;5000,L278&lt;&gt;"East"),"High-Value Merchant Day","No")</f>
        <v>No</v>
      </c>
    </row>
    <row r="279" customFormat="false" ht="15" hidden="false" customHeight="false" outlineLevel="0" collapsed="false">
      <c r="A279" s="2" t="s">
        <v>357</v>
      </c>
      <c r="B279" s="2" t="n">
        <v>57</v>
      </c>
      <c r="C279" s="2" t="n">
        <v>19</v>
      </c>
      <c r="D279" s="9" t="n">
        <v>46042.6854166667</v>
      </c>
      <c r="E279" s="10" t="n">
        <f aca="false">INT(D279)</f>
        <v>46042</v>
      </c>
      <c r="F279" s="2" t="n">
        <v>49</v>
      </c>
      <c r="G279" s="2" t="s">
        <v>56</v>
      </c>
      <c r="H279" s="2" t="s">
        <v>78</v>
      </c>
      <c r="I279" s="2" t="n">
        <v>30</v>
      </c>
      <c r="J279" s="2" t="str">
        <f aca="false">IFERROR(VLOOKUP($C279,merchants!$A$2:$D$41,2,FALSE()),"Merchant not found")</f>
        <v>Merchant_019</v>
      </c>
      <c r="K279" s="2" t="str">
        <f aca="false">IFERROR(VLOOKUP($C279,merchants!$A$2:$D$41,3,FALSE()),"Merchant not found")</f>
        <v>grocery</v>
      </c>
      <c r="L279" s="2" t="str">
        <f aca="false">IFERROR(VLOOKUP($C279,merchants!$A$2:$D$41,4,FALSE()),"Merchant not found")</f>
        <v>North</v>
      </c>
      <c r="M279" s="2" t="n">
        <f aca="false">SUMIFS($F$2:$F$548,$C$2:$C$548,C279,$E$2:$E$548,E279)</f>
        <v>348</v>
      </c>
      <c r="N279" s="2" t="str">
        <f aca="false">IF(AND(M279&gt;5000,L279&lt;&gt;"East"),"High-Value Merchant Day","No")</f>
        <v>No</v>
      </c>
    </row>
    <row r="280" customFormat="false" ht="15" hidden="false" customHeight="false" outlineLevel="0" collapsed="false">
      <c r="A280" s="2" t="s">
        <v>358</v>
      </c>
      <c r="B280" s="2" t="n">
        <v>123</v>
      </c>
      <c r="C280" s="2" t="n">
        <v>27</v>
      </c>
      <c r="D280" s="9" t="n">
        <v>46032.1270833333</v>
      </c>
      <c r="E280" s="10" t="n">
        <f aca="false">INT(D280)</f>
        <v>46032</v>
      </c>
      <c r="F280" s="2" t="n">
        <v>149</v>
      </c>
      <c r="G280" s="2" t="s">
        <v>59</v>
      </c>
      <c r="H280" s="2" t="s">
        <v>78</v>
      </c>
      <c r="I280" s="2" t="n">
        <v>81</v>
      </c>
      <c r="J280" s="2" t="str">
        <f aca="false">IFERROR(VLOOKUP($C280,merchants!$A$2:$D$41,2,FALSE()),"Merchant not found")</f>
        <v>Merchant_027</v>
      </c>
      <c r="K280" s="2" t="str">
        <f aca="false">IFERROR(VLOOKUP($C280,merchants!$A$2:$D$41,3,FALSE()),"Merchant not found")</f>
        <v>ecommerce</v>
      </c>
      <c r="L280" s="2" t="str">
        <f aca="false">IFERROR(VLOOKUP($C280,merchants!$A$2:$D$41,4,FALSE()),"Merchant not found")</f>
        <v>North</v>
      </c>
      <c r="M280" s="2" t="n">
        <f aca="false">SUMIFS($F$2:$F$548,$C$2:$C$548,C280,$E$2:$E$548,E280)</f>
        <v>149</v>
      </c>
      <c r="N280" s="2" t="str">
        <f aca="false">IF(AND(M280&gt;5000,L280&lt;&gt;"East"),"High-Value Merchant Day","No")</f>
        <v>No</v>
      </c>
    </row>
    <row r="281" customFormat="false" ht="15" hidden="false" customHeight="false" outlineLevel="0" collapsed="false">
      <c r="A281" s="2" t="s">
        <v>359</v>
      </c>
      <c r="B281" s="2" t="n">
        <v>33</v>
      </c>
      <c r="C281" s="2" t="n">
        <v>8</v>
      </c>
      <c r="D281" s="9" t="n">
        <v>46048.8118055556</v>
      </c>
      <c r="E281" s="10" t="n">
        <f aca="false">INT(D281)</f>
        <v>46048</v>
      </c>
      <c r="F281" s="2" t="n">
        <v>299</v>
      </c>
      <c r="G281" s="2" t="s">
        <v>57</v>
      </c>
      <c r="H281" s="2" t="s">
        <v>78</v>
      </c>
      <c r="I281" s="2" t="n">
        <v>63</v>
      </c>
      <c r="J281" s="2" t="str">
        <f aca="false">IFERROR(VLOOKUP($C281,merchants!$A$2:$D$41,2,FALSE()),"Merchant not found")</f>
        <v>Merchant_008</v>
      </c>
      <c r="K281" s="2" t="str">
        <f aca="false">IFERROR(VLOOKUP($C281,merchants!$A$2:$D$41,3,FALSE()),"Merchant not found")</f>
        <v>food_delivery</v>
      </c>
      <c r="L281" s="2" t="str">
        <f aca="false">IFERROR(VLOOKUP($C281,merchants!$A$2:$D$41,4,FALSE()),"Merchant not found")</f>
        <v>North</v>
      </c>
      <c r="M281" s="2" t="n">
        <f aca="false">SUMIFS($F$2:$F$548,$C$2:$C$548,C281,$E$2:$E$548,E281)</f>
        <v>598</v>
      </c>
      <c r="N281" s="2" t="str">
        <f aca="false">IF(AND(M281&gt;5000,L281&lt;&gt;"East"),"High-Value Merchant Day","No")</f>
        <v>No</v>
      </c>
    </row>
    <row r="282" customFormat="false" ht="15" hidden="false" customHeight="false" outlineLevel="0" collapsed="false">
      <c r="A282" s="2" t="s">
        <v>360</v>
      </c>
      <c r="B282" s="2" t="n">
        <v>324</v>
      </c>
      <c r="C282" s="2" t="n">
        <v>33</v>
      </c>
      <c r="D282" s="9" t="n">
        <v>46042.7090277778</v>
      </c>
      <c r="E282" s="10" t="n">
        <f aca="false">INT(D282)</f>
        <v>46042</v>
      </c>
      <c r="F282" s="2" t="n">
        <v>499</v>
      </c>
      <c r="G282" s="2" t="s">
        <v>56</v>
      </c>
      <c r="H282" s="2" t="s">
        <v>78</v>
      </c>
      <c r="I282" s="2" t="n">
        <v>73</v>
      </c>
      <c r="J282" s="2" t="str">
        <f aca="false">IFERROR(VLOOKUP($C282,merchants!$A$2:$D$41,2,FALSE()),"Merchant not found")</f>
        <v>Merchant_033</v>
      </c>
      <c r="K282" s="2" t="str">
        <f aca="false">IFERROR(VLOOKUP($C282,merchants!$A$2:$D$41,3,FALSE()),"Merchant not found")</f>
        <v>bill_payment</v>
      </c>
      <c r="L282" s="2" t="str">
        <f aca="false">IFERROR(VLOOKUP($C282,merchants!$A$2:$D$41,4,FALSE()),"Merchant not found")</f>
        <v>East</v>
      </c>
      <c r="M282" s="2" t="n">
        <f aca="false">SUMIFS($F$2:$F$548,$C$2:$C$548,C282,$E$2:$E$548,E282)</f>
        <v>499</v>
      </c>
      <c r="N282" s="2" t="str">
        <f aca="false">IF(AND(M282&gt;5000,L282&lt;&gt;"East"),"High-Value Merchant Day","No")</f>
        <v>No</v>
      </c>
    </row>
    <row r="283" customFormat="false" ht="15" hidden="false" customHeight="false" outlineLevel="0" collapsed="false">
      <c r="A283" s="2" t="s">
        <v>361</v>
      </c>
      <c r="B283" s="2" t="n">
        <v>150</v>
      </c>
      <c r="C283" s="2" t="n">
        <v>28</v>
      </c>
      <c r="D283" s="9" t="n">
        <v>46030.9229166667</v>
      </c>
      <c r="E283" s="10" t="n">
        <f aca="false">INT(D283)</f>
        <v>46030</v>
      </c>
      <c r="F283" s="2" t="n">
        <v>49</v>
      </c>
      <c r="G283" s="2" t="s">
        <v>56</v>
      </c>
      <c r="H283" s="2" t="s">
        <v>90</v>
      </c>
      <c r="I283" s="2" t="n">
        <v>0</v>
      </c>
      <c r="J283" s="2" t="str">
        <f aca="false">IFERROR(VLOOKUP($C283,merchants!$A$2:$D$41,2,FALSE()),"Merchant not found")</f>
        <v>Merchant_028</v>
      </c>
      <c r="K283" s="2" t="str">
        <f aca="false">IFERROR(VLOOKUP($C283,merchants!$A$2:$D$41,3,FALSE()),"Merchant not found")</f>
        <v>ecommerce</v>
      </c>
      <c r="L283" s="2" t="str">
        <f aca="false">IFERROR(VLOOKUP($C283,merchants!$A$2:$D$41,4,FALSE()),"Merchant not found")</f>
        <v>South</v>
      </c>
      <c r="M283" s="2" t="n">
        <f aca="false">SUMIFS($F$2:$F$548,$C$2:$C$548,C283,$E$2:$E$548,E283)</f>
        <v>49</v>
      </c>
      <c r="N283" s="2" t="str">
        <f aca="false">IF(AND(M283&gt;5000,L283&lt;&gt;"East"),"High-Value Merchant Day","No")</f>
        <v>No</v>
      </c>
    </row>
    <row r="284" customFormat="false" ht="15" hidden="false" customHeight="false" outlineLevel="0" collapsed="false">
      <c r="A284" s="2" t="s">
        <v>362</v>
      </c>
      <c r="B284" s="2" t="n">
        <v>293</v>
      </c>
      <c r="C284" s="2" t="n">
        <v>27</v>
      </c>
      <c r="D284" s="9" t="n">
        <v>46042.46875</v>
      </c>
      <c r="E284" s="10" t="n">
        <f aca="false">INT(D284)</f>
        <v>46042</v>
      </c>
      <c r="F284" s="2" t="n">
        <v>4999</v>
      </c>
      <c r="G284" s="2" t="s">
        <v>56</v>
      </c>
      <c r="H284" s="2" t="s">
        <v>78</v>
      </c>
      <c r="I284" s="2" t="n">
        <v>23</v>
      </c>
      <c r="J284" s="2" t="str">
        <f aca="false">IFERROR(VLOOKUP($C284,merchants!$A$2:$D$41,2,FALSE()),"Merchant not found")</f>
        <v>Merchant_027</v>
      </c>
      <c r="K284" s="2" t="str">
        <f aca="false">IFERROR(VLOOKUP($C284,merchants!$A$2:$D$41,3,FALSE()),"Merchant not found")</f>
        <v>ecommerce</v>
      </c>
      <c r="L284" s="2" t="str">
        <f aca="false">IFERROR(VLOOKUP($C284,merchants!$A$2:$D$41,4,FALSE()),"Merchant not found")</f>
        <v>North</v>
      </c>
      <c r="M284" s="2" t="n">
        <f aca="false">SUMIFS($F$2:$F$548,$C$2:$C$548,C284,$E$2:$E$548,E284)</f>
        <v>4999</v>
      </c>
      <c r="N284" s="2" t="str">
        <f aca="false">IF(AND(M284&gt;5000,L284&lt;&gt;"East"),"High-Value Merchant Day","No")</f>
        <v>No</v>
      </c>
    </row>
    <row r="285" customFormat="false" ht="15" hidden="false" customHeight="false" outlineLevel="0" collapsed="false">
      <c r="A285" s="2" t="s">
        <v>363</v>
      </c>
      <c r="B285" s="2" t="n">
        <v>269</v>
      </c>
      <c r="C285" s="2" t="n">
        <v>24</v>
      </c>
      <c r="D285" s="9" t="n">
        <v>46044.8784722222</v>
      </c>
      <c r="E285" s="10" t="n">
        <f aca="false">INT(D285)</f>
        <v>46044</v>
      </c>
      <c r="F285" s="2" t="n">
        <v>49</v>
      </c>
      <c r="G285" s="2" t="s">
        <v>57</v>
      </c>
      <c r="H285" s="2" t="s">
        <v>78</v>
      </c>
      <c r="I285" s="2" t="n">
        <v>8</v>
      </c>
      <c r="J285" s="2" t="str">
        <f aca="false">IFERROR(VLOOKUP($C285,merchants!$A$2:$D$41,2,FALSE()),"Merchant not found")</f>
        <v>Merchant_024</v>
      </c>
      <c r="K285" s="2" t="str">
        <f aca="false">IFERROR(VLOOKUP($C285,merchants!$A$2:$D$41,3,FALSE()),"Merchant not found")</f>
        <v>grocery</v>
      </c>
      <c r="L285" s="2" t="str">
        <f aca="false">IFERROR(VLOOKUP($C285,merchants!$A$2:$D$41,4,FALSE()),"Merchant not found")</f>
        <v>North</v>
      </c>
      <c r="M285" s="2" t="n">
        <f aca="false">SUMIFS($F$2:$F$548,$C$2:$C$548,C285,$E$2:$E$548,E285)</f>
        <v>49</v>
      </c>
      <c r="N285" s="2" t="str">
        <f aca="false">IF(AND(M285&gt;5000,L285&lt;&gt;"East"),"High-Value Merchant Day","No")</f>
        <v>No</v>
      </c>
    </row>
    <row r="286" customFormat="false" ht="15" hidden="false" customHeight="false" outlineLevel="0" collapsed="false">
      <c r="A286" s="2" t="s">
        <v>364</v>
      </c>
      <c r="B286" s="2" t="n">
        <v>260</v>
      </c>
      <c r="C286" s="2" t="n">
        <v>36</v>
      </c>
      <c r="D286" s="9" t="n">
        <v>46039.7305555556</v>
      </c>
      <c r="E286" s="10" t="n">
        <f aca="false">INT(D286)</f>
        <v>46039</v>
      </c>
      <c r="F286" s="2" t="n">
        <v>1499</v>
      </c>
      <c r="G286" s="2" t="s">
        <v>56</v>
      </c>
      <c r="H286" s="2" t="s">
        <v>78</v>
      </c>
      <c r="I286" s="2" t="n">
        <v>2</v>
      </c>
      <c r="J286" s="2" t="str">
        <f aca="false">IFERROR(VLOOKUP($C286,merchants!$A$2:$D$41,2,FALSE()),"Merchant not found")</f>
        <v>Merchant_036</v>
      </c>
      <c r="K286" s="2" t="str">
        <f aca="false">IFERROR(VLOOKUP($C286,merchants!$A$2:$D$41,3,FALSE()),"Merchant not found")</f>
        <v>entertainment</v>
      </c>
      <c r="L286" s="2" t="str">
        <f aca="false">IFERROR(VLOOKUP($C286,merchants!$A$2:$D$41,4,FALSE()),"Merchant not found")</f>
        <v>East</v>
      </c>
      <c r="M286" s="2" t="n">
        <f aca="false">SUMIFS($F$2:$F$548,$C$2:$C$548,C286,$E$2:$E$548,E286)</f>
        <v>1499</v>
      </c>
      <c r="N286" s="2" t="str">
        <f aca="false">IF(AND(M286&gt;5000,L286&lt;&gt;"East"),"High-Value Merchant Day","No")</f>
        <v>No</v>
      </c>
    </row>
    <row r="287" customFormat="false" ht="15" hidden="false" customHeight="false" outlineLevel="0" collapsed="false">
      <c r="A287" s="2" t="s">
        <v>365</v>
      </c>
      <c r="B287" s="2" t="n">
        <v>326</v>
      </c>
      <c r="C287" s="2" t="n">
        <v>25</v>
      </c>
      <c r="D287" s="9" t="n">
        <v>46035.6263888889</v>
      </c>
      <c r="E287" s="10" t="n">
        <f aca="false">INT(D287)</f>
        <v>46035</v>
      </c>
      <c r="F287" s="2" t="n">
        <v>49</v>
      </c>
      <c r="G287" s="2" t="s">
        <v>56</v>
      </c>
      <c r="H287" s="2" t="s">
        <v>78</v>
      </c>
      <c r="I287" s="2" t="n">
        <v>47</v>
      </c>
      <c r="J287" s="2" t="str">
        <f aca="false">IFERROR(VLOOKUP($C287,merchants!$A$2:$D$41,2,FALSE()),"Merchant not found")</f>
        <v>Merchant_025</v>
      </c>
      <c r="K287" s="2" t="str">
        <f aca="false">IFERROR(VLOOKUP($C287,merchants!$A$2:$D$41,3,FALSE()),"Merchant not found")</f>
        <v>travel</v>
      </c>
      <c r="L287" s="2" t="str">
        <f aca="false">IFERROR(VLOOKUP($C287,merchants!$A$2:$D$41,4,FALSE()),"Merchant not found")</f>
        <v>South</v>
      </c>
      <c r="M287" s="2" t="n">
        <f aca="false">SUMIFS($F$2:$F$548,$C$2:$C$548,C287,$E$2:$E$548,E287)</f>
        <v>49</v>
      </c>
      <c r="N287" s="2" t="str">
        <f aca="false">IF(AND(M287&gt;5000,L287&lt;&gt;"East"),"High-Value Merchant Day","No")</f>
        <v>No</v>
      </c>
    </row>
    <row r="288" customFormat="false" ht="15" hidden="false" customHeight="false" outlineLevel="0" collapsed="false">
      <c r="A288" s="2" t="s">
        <v>366</v>
      </c>
      <c r="B288" s="2" t="n">
        <v>183</v>
      </c>
      <c r="C288" s="2" t="n">
        <v>5</v>
      </c>
      <c r="D288" s="9" t="n">
        <v>46031.9590277778</v>
      </c>
      <c r="E288" s="10" t="n">
        <f aca="false">INT(D288)</f>
        <v>46031</v>
      </c>
      <c r="F288" s="2" t="n">
        <v>49</v>
      </c>
      <c r="G288" s="2" t="s">
        <v>58</v>
      </c>
      <c r="H288" s="2" t="s">
        <v>78</v>
      </c>
      <c r="I288" s="2" t="n">
        <v>44</v>
      </c>
      <c r="J288" s="2" t="str">
        <f aca="false">IFERROR(VLOOKUP($C288,merchants!$A$2:$D$41,2,FALSE()),"Merchant not found")</f>
        <v>Merchant_005</v>
      </c>
      <c r="K288" s="2" t="str">
        <f aca="false">IFERROR(VLOOKUP($C288,merchants!$A$2:$D$41,3,FALSE()),"Merchant not found")</f>
        <v>recharge</v>
      </c>
      <c r="L288" s="2" t="str">
        <f aca="false">IFERROR(VLOOKUP($C288,merchants!$A$2:$D$41,4,FALSE()),"Merchant not found")</f>
        <v>South</v>
      </c>
      <c r="M288" s="2" t="n">
        <f aca="false">SUMIFS($F$2:$F$548,$C$2:$C$548,C288,$E$2:$E$548,E288)</f>
        <v>348</v>
      </c>
      <c r="N288" s="2" t="str">
        <f aca="false">IF(AND(M288&gt;5000,L288&lt;&gt;"East"),"High-Value Merchant Day","No")</f>
        <v>No</v>
      </c>
    </row>
    <row r="289" customFormat="false" ht="15" hidden="false" customHeight="false" outlineLevel="0" collapsed="false">
      <c r="A289" s="2" t="s">
        <v>367</v>
      </c>
      <c r="B289" s="2" t="n">
        <v>322</v>
      </c>
      <c r="C289" s="2" t="n">
        <v>7</v>
      </c>
      <c r="D289" s="9" t="n">
        <v>46030.9875</v>
      </c>
      <c r="E289" s="10" t="n">
        <f aca="false">INT(D289)</f>
        <v>46030</v>
      </c>
      <c r="F289" s="2" t="n">
        <v>299</v>
      </c>
      <c r="G289" s="2" t="s">
        <v>56</v>
      </c>
      <c r="H289" s="2" t="s">
        <v>78</v>
      </c>
      <c r="I289" s="2" t="n">
        <v>98</v>
      </c>
      <c r="J289" s="2" t="str">
        <f aca="false">IFERROR(VLOOKUP($C289,merchants!$A$2:$D$41,2,FALSE()),"Merchant not found")</f>
        <v>Merchant_007</v>
      </c>
      <c r="K289" s="2" t="str">
        <f aca="false">IFERROR(VLOOKUP($C289,merchants!$A$2:$D$41,3,FALSE()),"Merchant not found")</f>
        <v>food_delivery</v>
      </c>
      <c r="L289" s="2" t="str">
        <f aca="false">IFERROR(VLOOKUP($C289,merchants!$A$2:$D$41,4,FALSE()),"Merchant not found")</f>
        <v>East</v>
      </c>
      <c r="M289" s="2" t="n">
        <f aca="false">SUMIFS($F$2:$F$548,$C$2:$C$548,C289,$E$2:$E$548,E289)</f>
        <v>299</v>
      </c>
      <c r="N289" s="2" t="str">
        <f aca="false">IF(AND(M289&gt;5000,L289&lt;&gt;"East"),"High-Value Merchant Day","No")</f>
        <v>No</v>
      </c>
    </row>
    <row r="290" customFormat="false" ht="15" hidden="false" customHeight="false" outlineLevel="0" collapsed="false">
      <c r="A290" s="2" t="s">
        <v>368</v>
      </c>
      <c r="B290" s="2" t="n">
        <v>171</v>
      </c>
      <c r="C290" s="2" t="n">
        <v>9</v>
      </c>
      <c r="D290" s="9" t="n">
        <v>46041.9916666667</v>
      </c>
      <c r="E290" s="10" t="n">
        <f aca="false">INT(D290)</f>
        <v>46041</v>
      </c>
      <c r="F290" s="2" t="n">
        <v>299</v>
      </c>
      <c r="G290" s="2" t="s">
        <v>56</v>
      </c>
      <c r="H290" s="2" t="s">
        <v>78</v>
      </c>
      <c r="I290" s="2" t="n">
        <v>5</v>
      </c>
      <c r="J290" s="2" t="str">
        <f aca="false">IFERROR(VLOOKUP($C290,merchants!$A$2:$D$41,2,FALSE()),"Merchant not found")</f>
        <v>Merchant_009</v>
      </c>
      <c r="K290" s="2" t="str">
        <f aca="false">IFERROR(VLOOKUP($C290,merchants!$A$2:$D$41,3,FALSE()),"Merchant not found")</f>
        <v>ecommerce</v>
      </c>
      <c r="L290" s="2" t="str">
        <f aca="false">IFERROR(VLOOKUP($C290,merchants!$A$2:$D$41,4,FALSE()),"Merchant not found")</f>
        <v>North</v>
      </c>
      <c r="M290" s="2" t="n">
        <f aca="false">SUMIFS($F$2:$F$548,$C$2:$C$548,C290,$E$2:$E$548,E290)</f>
        <v>299</v>
      </c>
      <c r="N290" s="2" t="str">
        <f aca="false">IF(AND(M290&gt;5000,L290&lt;&gt;"East"),"High-Value Merchant Day","No")</f>
        <v>No</v>
      </c>
    </row>
    <row r="291" customFormat="false" ht="15" hidden="false" customHeight="false" outlineLevel="0" collapsed="false">
      <c r="A291" s="2" t="s">
        <v>369</v>
      </c>
      <c r="B291" s="2" t="n">
        <v>330</v>
      </c>
      <c r="C291" s="2" t="n">
        <v>12</v>
      </c>
      <c r="D291" s="9" t="n">
        <v>46034.7229166667</v>
      </c>
      <c r="E291" s="10" t="n">
        <f aca="false">INT(D291)</f>
        <v>46034</v>
      </c>
      <c r="F291" s="2" t="n">
        <v>1499</v>
      </c>
      <c r="G291" s="2" t="s">
        <v>59</v>
      </c>
      <c r="H291" s="2" t="s">
        <v>78</v>
      </c>
      <c r="I291" s="2" t="n">
        <v>99</v>
      </c>
      <c r="J291" s="2" t="str">
        <f aca="false">IFERROR(VLOOKUP($C291,merchants!$A$2:$D$41,2,FALSE()),"Merchant not found")</f>
        <v>Merchant_012</v>
      </c>
      <c r="K291" s="2" t="str">
        <f aca="false">IFERROR(VLOOKUP($C291,merchants!$A$2:$D$41,3,FALSE()),"Merchant not found")</f>
        <v>ecommerce</v>
      </c>
      <c r="L291" s="2" t="str">
        <f aca="false">IFERROR(VLOOKUP($C291,merchants!$A$2:$D$41,4,FALSE()),"Merchant not found")</f>
        <v>East</v>
      </c>
      <c r="M291" s="2" t="n">
        <f aca="false">SUMIFS($F$2:$F$548,$C$2:$C$548,C291,$E$2:$E$548,E291)</f>
        <v>1998</v>
      </c>
      <c r="N291" s="2" t="str">
        <f aca="false">IF(AND(M291&gt;5000,L291&lt;&gt;"East"),"High-Value Merchant Day","No")</f>
        <v>No</v>
      </c>
    </row>
    <row r="292" customFormat="false" ht="15" hidden="false" customHeight="false" outlineLevel="0" collapsed="false">
      <c r="A292" s="2" t="s">
        <v>370</v>
      </c>
      <c r="B292" s="2" t="n">
        <v>246</v>
      </c>
      <c r="C292" s="2" t="n">
        <v>12</v>
      </c>
      <c r="D292" s="9" t="n">
        <v>46044.6138888889</v>
      </c>
      <c r="E292" s="10" t="n">
        <f aca="false">INT(D292)</f>
        <v>46044</v>
      </c>
      <c r="F292" s="2" t="n">
        <v>99</v>
      </c>
      <c r="G292" s="2" t="s">
        <v>57</v>
      </c>
      <c r="H292" s="2" t="s">
        <v>78</v>
      </c>
      <c r="I292" s="2" t="n">
        <v>17</v>
      </c>
      <c r="J292" s="2" t="str">
        <f aca="false">IFERROR(VLOOKUP($C292,merchants!$A$2:$D$41,2,FALSE()),"Merchant not found")</f>
        <v>Merchant_012</v>
      </c>
      <c r="K292" s="2" t="str">
        <f aca="false">IFERROR(VLOOKUP($C292,merchants!$A$2:$D$41,3,FALSE()),"Merchant not found")</f>
        <v>ecommerce</v>
      </c>
      <c r="L292" s="2" t="str">
        <f aca="false">IFERROR(VLOOKUP($C292,merchants!$A$2:$D$41,4,FALSE()),"Merchant not found")</f>
        <v>East</v>
      </c>
      <c r="M292" s="2" t="n">
        <f aca="false">SUMIFS($F$2:$F$548,$C$2:$C$548,C292,$E$2:$E$548,E292)</f>
        <v>99</v>
      </c>
      <c r="N292" s="2" t="str">
        <f aca="false">IF(AND(M292&gt;5000,L292&lt;&gt;"East"),"High-Value Merchant Day","No")</f>
        <v>No</v>
      </c>
    </row>
    <row r="293" customFormat="false" ht="15" hidden="false" customHeight="false" outlineLevel="0" collapsed="false">
      <c r="A293" s="2" t="s">
        <v>371</v>
      </c>
      <c r="B293" s="2" t="n">
        <v>235</v>
      </c>
      <c r="C293" s="2" t="n">
        <v>3</v>
      </c>
      <c r="D293" s="9" t="n">
        <v>46025.9506944444</v>
      </c>
      <c r="E293" s="10" t="n">
        <f aca="false">INT(D293)</f>
        <v>46025</v>
      </c>
      <c r="F293" s="2" t="n">
        <v>49</v>
      </c>
      <c r="G293" s="2" t="s">
        <v>56</v>
      </c>
      <c r="H293" s="2" t="s">
        <v>78</v>
      </c>
      <c r="I293" s="2" t="n">
        <v>37</v>
      </c>
      <c r="J293" s="2" t="str">
        <f aca="false">IFERROR(VLOOKUP($C293,merchants!$A$2:$D$41,2,FALSE()),"Merchant not found")</f>
        <v>Merchant_003</v>
      </c>
      <c r="K293" s="2" t="str">
        <f aca="false">IFERROR(VLOOKUP($C293,merchants!$A$2:$D$41,3,FALSE()),"Merchant not found")</f>
        <v>grocery</v>
      </c>
      <c r="L293" s="2" t="str">
        <f aca="false">IFERROR(VLOOKUP($C293,merchants!$A$2:$D$41,4,FALSE()),"Merchant not found")</f>
        <v>East</v>
      </c>
      <c r="M293" s="2" t="n">
        <f aca="false">SUMIFS($F$2:$F$548,$C$2:$C$548,C293,$E$2:$E$548,E293)</f>
        <v>198</v>
      </c>
      <c r="N293" s="2" t="str">
        <f aca="false">IF(AND(M293&gt;5000,L293&lt;&gt;"East"),"High-Value Merchant Day","No")</f>
        <v>No</v>
      </c>
    </row>
    <row r="294" customFormat="false" ht="15" hidden="false" customHeight="false" outlineLevel="0" collapsed="false">
      <c r="A294" s="2" t="s">
        <v>372</v>
      </c>
      <c r="B294" s="2" t="n">
        <v>103</v>
      </c>
      <c r="C294" s="2" t="n">
        <v>3</v>
      </c>
      <c r="D294" s="9" t="n">
        <v>46029.0763888889</v>
      </c>
      <c r="E294" s="10" t="n">
        <f aca="false">INT(D294)</f>
        <v>46029</v>
      </c>
      <c r="F294" s="2" t="n">
        <v>499</v>
      </c>
      <c r="G294" s="2" t="s">
        <v>56</v>
      </c>
      <c r="H294" s="2" t="s">
        <v>78</v>
      </c>
      <c r="I294" s="2" t="n">
        <v>40</v>
      </c>
      <c r="J294" s="2" t="str">
        <f aca="false">IFERROR(VLOOKUP($C294,merchants!$A$2:$D$41,2,FALSE()),"Merchant not found")</f>
        <v>Merchant_003</v>
      </c>
      <c r="K294" s="2" t="str">
        <f aca="false">IFERROR(VLOOKUP($C294,merchants!$A$2:$D$41,3,FALSE()),"Merchant not found")</f>
        <v>grocery</v>
      </c>
      <c r="L294" s="2" t="str">
        <f aca="false">IFERROR(VLOOKUP($C294,merchants!$A$2:$D$41,4,FALSE()),"Merchant not found")</f>
        <v>East</v>
      </c>
      <c r="M294" s="2" t="n">
        <f aca="false">SUMIFS($F$2:$F$548,$C$2:$C$548,C294,$E$2:$E$548,E294)</f>
        <v>798</v>
      </c>
      <c r="N294" s="2" t="str">
        <f aca="false">IF(AND(M294&gt;5000,L294&lt;&gt;"East"),"High-Value Merchant Day","No")</f>
        <v>No</v>
      </c>
    </row>
    <row r="295" customFormat="false" ht="15" hidden="false" customHeight="false" outlineLevel="0" collapsed="false">
      <c r="A295" s="2" t="s">
        <v>373</v>
      </c>
      <c r="B295" s="2" t="n">
        <v>204</v>
      </c>
      <c r="C295" s="2" t="n">
        <v>35</v>
      </c>
      <c r="D295" s="9" t="n">
        <v>46052.3972222222</v>
      </c>
      <c r="E295" s="10" t="n">
        <f aca="false">INT(D295)</f>
        <v>46052</v>
      </c>
      <c r="F295" s="2" t="n">
        <v>99</v>
      </c>
      <c r="G295" s="2" t="s">
        <v>57</v>
      </c>
      <c r="H295" s="2" t="s">
        <v>78</v>
      </c>
      <c r="I295" s="2" t="n">
        <v>60</v>
      </c>
      <c r="J295" s="2" t="str">
        <f aca="false">IFERROR(VLOOKUP($C295,merchants!$A$2:$D$41,2,FALSE()),"Merchant not found")</f>
        <v>Merchant_035</v>
      </c>
      <c r="K295" s="2" t="str">
        <f aca="false">IFERROR(VLOOKUP($C295,merchants!$A$2:$D$41,3,FALSE()),"Merchant not found")</f>
        <v>recharge</v>
      </c>
      <c r="L295" s="2" t="str">
        <f aca="false">IFERROR(VLOOKUP($C295,merchants!$A$2:$D$41,4,FALSE()),"Merchant not found")</f>
        <v>East</v>
      </c>
      <c r="M295" s="2" t="n">
        <f aca="false">SUMIFS($F$2:$F$548,$C$2:$C$548,C295,$E$2:$E$548,E295)</f>
        <v>99</v>
      </c>
      <c r="N295" s="2" t="str">
        <f aca="false">IF(AND(M295&gt;5000,L295&lt;&gt;"East"),"High-Value Merchant Day","No")</f>
        <v>No</v>
      </c>
    </row>
    <row r="296" customFormat="false" ht="15" hidden="false" customHeight="false" outlineLevel="0" collapsed="false">
      <c r="A296" s="2" t="s">
        <v>374</v>
      </c>
      <c r="B296" s="2" t="n">
        <v>332</v>
      </c>
      <c r="C296" s="2" t="n">
        <v>13</v>
      </c>
      <c r="D296" s="9" t="n">
        <v>46031.075</v>
      </c>
      <c r="E296" s="10" t="n">
        <f aca="false">INT(D296)</f>
        <v>46031</v>
      </c>
      <c r="F296" s="2" t="n">
        <v>49</v>
      </c>
      <c r="G296" s="2" t="s">
        <v>58</v>
      </c>
      <c r="H296" s="2" t="s">
        <v>78</v>
      </c>
      <c r="I296" s="2" t="n">
        <v>36</v>
      </c>
      <c r="J296" s="2" t="str">
        <f aca="false">IFERROR(VLOOKUP($C296,merchants!$A$2:$D$41,2,FALSE()),"Merchant not found")</f>
        <v>Merchant_013</v>
      </c>
      <c r="K296" s="2" t="str">
        <f aca="false">IFERROR(VLOOKUP($C296,merchants!$A$2:$D$41,3,FALSE()),"Merchant not found")</f>
        <v>travel</v>
      </c>
      <c r="L296" s="2" t="str">
        <f aca="false">IFERROR(VLOOKUP($C296,merchants!$A$2:$D$41,4,FALSE()),"Merchant not found")</f>
        <v>East</v>
      </c>
      <c r="M296" s="2" t="n">
        <f aca="false">SUMIFS($F$2:$F$548,$C$2:$C$548,C296,$E$2:$E$548,E296)</f>
        <v>198</v>
      </c>
      <c r="N296" s="2" t="str">
        <f aca="false">IF(AND(M296&gt;5000,L296&lt;&gt;"East"),"High-Value Merchant Day","No")</f>
        <v>No</v>
      </c>
    </row>
    <row r="297" customFormat="false" ht="15" hidden="false" customHeight="false" outlineLevel="0" collapsed="false">
      <c r="A297" s="2" t="s">
        <v>375</v>
      </c>
      <c r="B297" s="2" t="n">
        <v>336</v>
      </c>
      <c r="C297" s="2" t="n">
        <v>22</v>
      </c>
      <c r="D297" s="9" t="n">
        <v>46034.0798611111</v>
      </c>
      <c r="E297" s="10" t="n">
        <f aca="false">INT(D297)</f>
        <v>46034</v>
      </c>
      <c r="F297" s="2" t="n">
        <v>499</v>
      </c>
      <c r="G297" s="2" t="s">
        <v>56</v>
      </c>
      <c r="H297" s="2" t="s">
        <v>78</v>
      </c>
      <c r="I297" s="2" t="n">
        <v>34</v>
      </c>
      <c r="J297" s="2" t="str">
        <f aca="false">IFERROR(VLOOKUP($C297,merchants!$A$2:$D$41,2,FALSE()),"Merchant not found")</f>
        <v>Merchant_022</v>
      </c>
      <c r="K297" s="2" t="str">
        <f aca="false">IFERROR(VLOOKUP($C297,merchants!$A$2:$D$41,3,FALSE()),"Merchant not found")</f>
        <v>travel</v>
      </c>
      <c r="L297" s="2" t="str">
        <f aca="false">IFERROR(VLOOKUP($C297,merchants!$A$2:$D$41,4,FALSE()),"Merchant not found")</f>
        <v>South</v>
      </c>
      <c r="M297" s="2" t="n">
        <f aca="false">SUMIFS($F$2:$F$548,$C$2:$C$548,C297,$E$2:$E$548,E297)</f>
        <v>1697</v>
      </c>
      <c r="N297" s="2" t="str">
        <f aca="false">IF(AND(M297&gt;5000,L297&lt;&gt;"East"),"High-Value Merchant Day","No")</f>
        <v>No</v>
      </c>
    </row>
    <row r="298" customFormat="false" ht="15" hidden="false" customHeight="false" outlineLevel="0" collapsed="false">
      <c r="A298" s="2" t="s">
        <v>376</v>
      </c>
      <c r="B298" s="2" t="n">
        <v>205</v>
      </c>
      <c r="C298" s="2" t="n">
        <v>29</v>
      </c>
      <c r="D298" s="9" t="n">
        <v>46026.4770833333</v>
      </c>
      <c r="E298" s="10" t="n">
        <f aca="false">INT(D298)</f>
        <v>46026</v>
      </c>
      <c r="F298" s="2" t="n">
        <v>99</v>
      </c>
      <c r="G298" s="2" t="s">
        <v>57</v>
      </c>
      <c r="H298" s="2" t="s">
        <v>78</v>
      </c>
      <c r="I298" s="2" t="n">
        <v>49</v>
      </c>
      <c r="J298" s="2" t="str">
        <f aca="false">IFERROR(VLOOKUP($C298,merchants!$A$2:$D$41,2,FALSE()),"Merchant not found")</f>
        <v>Merchant_029</v>
      </c>
      <c r="K298" s="2" t="str">
        <f aca="false">IFERROR(VLOOKUP($C298,merchants!$A$2:$D$41,3,FALSE()),"Merchant not found")</f>
        <v>ecommerce</v>
      </c>
      <c r="L298" s="2" t="str">
        <f aca="false">IFERROR(VLOOKUP($C298,merchants!$A$2:$D$41,4,FALSE()),"Merchant not found")</f>
        <v>North</v>
      </c>
      <c r="M298" s="2" t="n">
        <f aca="false">SUMIFS($F$2:$F$548,$C$2:$C$548,C298,$E$2:$E$548,E298)</f>
        <v>99</v>
      </c>
      <c r="N298" s="2" t="str">
        <f aca="false">IF(AND(M298&gt;5000,L298&lt;&gt;"East"),"High-Value Merchant Day","No")</f>
        <v>No</v>
      </c>
    </row>
    <row r="299" customFormat="false" ht="15" hidden="false" customHeight="false" outlineLevel="0" collapsed="false">
      <c r="A299" s="2" t="s">
        <v>377</v>
      </c>
      <c r="B299" s="2" t="n">
        <v>255</v>
      </c>
      <c r="C299" s="2" t="n">
        <v>24</v>
      </c>
      <c r="D299" s="9" t="n">
        <v>46033.2298611111</v>
      </c>
      <c r="E299" s="10" t="n">
        <f aca="false">INT(D299)</f>
        <v>46033</v>
      </c>
      <c r="F299" s="2" t="n">
        <v>799</v>
      </c>
      <c r="G299" s="2" t="s">
        <v>56</v>
      </c>
      <c r="H299" s="2" t="s">
        <v>78</v>
      </c>
      <c r="I299" s="2" t="n">
        <v>66</v>
      </c>
      <c r="J299" s="2" t="str">
        <f aca="false">IFERROR(VLOOKUP($C299,merchants!$A$2:$D$41,2,FALSE()),"Merchant not found")</f>
        <v>Merchant_024</v>
      </c>
      <c r="K299" s="2" t="str">
        <f aca="false">IFERROR(VLOOKUP($C299,merchants!$A$2:$D$41,3,FALSE()),"Merchant not found")</f>
        <v>grocery</v>
      </c>
      <c r="L299" s="2" t="str">
        <f aca="false">IFERROR(VLOOKUP($C299,merchants!$A$2:$D$41,4,FALSE()),"Merchant not found")</f>
        <v>North</v>
      </c>
      <c r="M299" s="2" t="n">
        <f aca="false">SUMIFS($F$2:$F$548,$C$2:$C$548,C299,$E$2:$E$548,E299)</f>
        <v>799</v>
      </c>
      <c r="N299" s="2" t="str">
        <f aca="false">IF(AND(M299&gt;5000,L299&lt;&gt;"East"),"High-Value Merchant Day","No")</f>
        <v>No</v>
      </c>
    </row>
    <row r="300" customFormat="false" ht="15" hidden="false" customHeight="false" outlineLevel="0" collapsed="false">
      <c r="A300" s="2" t="s">
        <v>378</v>
      </c>
      <c r="B300" s="2" t="n">
        <v>218</v>
      </c>
      <c r="C300" s="2" t="n">
        <v>6</v>
      </c>
      <c r="D300" s="9" t="n">
        <v>46031.1152777778</v>
      </c>
      <c r="E300" s="10" t="n">
        <f aca="false">INT(D300)</f>
        <v>46031</v>
      </c>
      <c r="F300" s="2" t="n">
        <v>99</v>
      </c>
      <c r="G300" s="2" t="s">
        <v>56</v>
      </c>
      <c r="H300" s="2" t="s">
        <v>78</v>
      </c>
      <c r="I300" s="2" t="n">
        <v>55</v>
      </c>
      <c r="J300" s="2" t="str">
        <f aca="false">IFERROR(VLOOKUP($C300,merchants!$A$2:$D$41,2,FALSE()),"Merchant not found")</f>
        <v>Merchant_006</v>
      </c>
      <c r="K300" s="2" t="str">
        <f aca="false">IFERROR(VLOOKUP($C300,merchants!$A$2:$D$41,3,FALSE()),"Merchant not found")</f>
        <v>food_delivery</v>
      </c>
      <c r="L300" s="2" t="str">
        <f aca="false">IFERROR(VLOOKUP($C300,merchants!$A$2:$D$41,4,FALSE()),"Merchant not found")</f>
        <v>South</v>
      </c>
      <c r="M300" s="2" t="n">
        <f aca="false">SUMIFS($F$2:$F$548,$C$2:$C$548,C300,$E$2:$E$548,E300)</f>
        <v>99</v>
      </c>
      <c r="N300" s="2" t="str">
        <f aca="false">IF(AND(M300&gt;5000,L300&lt;&gt;"East"),"High-Value Merchant Day","No")</f>
        <v>No</v>
      </c>
    </row>
    <row r="301" customFormat="false" ht="15" hidden="false" customHeight="false" outlineLevel="0" collapsed="false">
      <c r="A301" s="2" t="s">
        <v>379</v>
      </c>
      <c r="B301" s="2" t="n">
        <v>151</v>
      </c>
      <c r="C301" s="2" t="n">
        <v>21</v>
      </c>
      <c r="D301" s="9" t="n">
        <v>46042.2319444444</v>
      </c>
      <c r="E301" s="10" t="n">
        <f aca="false">INT(D301)</f>
        <v>46042</v>
      </c>
      <c r="F301" s="2" t="n">
        <v>49</v>
      </c>
      <c r="G301" s="2" t="s">
        <v>56</v>
      </c>
      <c r="H301" s="2" t="s">
        <v>78</v>
      </c>
      <c r="I301" s="2" t="n">
        <v>13</v>
      </c>
      <c r="J301" s="2" t="str">
        <f aca="false">IFERROR(VLOOKUP($C301,merchants!$A$2:$D$41,2,FALSE()),"Merchant not found")</f>
        <v>Merchant_021</v>
      </c>
      <c r="K301" s="2" t="str">
        <f aca="false">IFERROR(VLOOKUP($C301,merchants!$A$2:$D$41,3,FALSE()),"Merchant not found")</f>
        <v>food_delivery</v>
      </c>
      <c r="L301" s="2" t="str">
        <f aca="false">IFERROR(VLOOKUP($C301,merchants!$A$2:$D$41,4,FALSE()),"Merchant not found")</f>
        <v>East</v>
      </c>
      <c r="M301" s="2" t="n">
        <f aca="false">SUMIFS($F$2:$F$548,$C$2:$C$548,C301,$E$2:$E$548,E301)</f>
        <v>49</v>
      </c>
      <c r="N301" s="2" t="str">
        <f aca="false">IF(AND(M301&gt;5000,L301&lt;&gt;"East"),"High-Value Merchant Day","No")</f>
        <v>No</v>
      </c>
    </row>
    <row r="302" customFormat="false" ht="15" hidden="false" customHeight="false" outlineLevel="0" collapsed="false">
      <c r="A302" s="2" t="s">
        <v>380</v>
      </c>
      <c r="B302" s="2" t="n">
        <v>152</v>
      </c>
      <c r="C302" s="2" t="n">
        <v>20</v>
      </c>
      <c r="D302" s="9" t="n">
        <v>46025.4458333333</v>
      </c>
      <c r="E302" s="10" t="n">
        <f aca="false">INT(D302)</f>
        <v>46025</v>
      </c>
      <c r="F302" s="2" t="n">
        <v>49</v>
      </c>
      <c r="G302" s="2" t="s">
        <v>56</v>
      </c>
      <c r="H302" s="2" t="s">
        <v>78</v>
      </c>
      <c r="I302" s="2" t="n">
        <v>57</v>
      </c>
      <c r="J302" s="2" t="str">
        <f aca="false">IFERROR(VLOOKUP($C302,merchants!$A$2:$D$41,2,FALSE()),"Merchant not found")</f>
        <v>Merchant_020</v>
      </c>
      <c r="K302" s="2" t="str">
        <f aca="false">IFERROR(VLOOKUP($C302,merchants!$A$2:$D$41,3,FALSE()),"Merchant not found")</f>
        <v>food_delivery</v>
      </c>
      <c r="L302" s="2" t="str">
        <f aca="false">IFERROR(VLOOKUP($C302,merchants!$A$2:$D$41,4,FALSE()),"Merchant not found")</f>
        <v>East</v>
      </c>
      <c r="M302" s="2" t="n">
        <f aca="false">SUMIFS($F$2:$F$548,$C$2:$C$548,C302,$E$2:$E$548,E302)</f>
        <v>348</v>
      </c>
      <c r="N302" s="2" t="str">
        <f aca="false">IF(AND(M302&gt;5000,L302&lt;&gt;"East"),"High-Value Merchant Day","No")</f>
        <v>No</v>
      </c>
    </row>
    <row r="303" customFormat="false" ht="15" hidden="false" customHeight="false" outlineLevel="0" collapsed="false">
      <c r="A303" s="2" t="s">
        <v>381</v>
      </c>
      <c r="B303" s="2" t="n">
        <v>86</v>
      </c>
      <c r="C303" s="2" t="n">
        <v>29</v>
      </c>
      <c r="D303" s="9" t="n">
        <v>46042.9354166667</v>
      </c>
      <c r="E303" s="10" t="n">
        <f aca="false">INT(D303)</f>
        <v>46042</v>
      </c>
      <c r="F303" s="2" t="n">
        <v>149</v>
      </c>
      <c r="G303" s="2" t="s">
        <v>58</v>
      </c>
      <c r="H303" s="2" t="s">
        <v>78</v>
      </c>
      <c r="I303" s="2" t="n">
        <v>44</v>
      </c>
      <c r="J303" s="2" t="str">
        <f aca="false">IFERROR(VLOOKUP($C303,merchants!$A$2:$D$41,2,FALSE()),"Merchant not found")</f>
        <v>Merchant_029</v>
      </c>
      <c r="K303" s="2" t="str">
        <f aca="false">IFERROR(VLOOKUP($C303,merchants!$A$2:$D$41,3,FALSE()),"Merchant not found")</f>
        <v>ecommerce</v>
      </c>
      <c r="L303" s="2" t="str">
        <f aca="false">IFERROR(VLOOKUP($C303,merchants!$A$2:$D$41,4,FALSE()),"Merchant not found")</f>
        <v>North</v>
      </c>
      <c r="M303" s="2" t="n">
        <f aca="false">SUMIFS($F$2:$F$548,$C$2:$C$548,C303,$E$2:$E$548,E303)</f>
        <v>149</v>
      </c>
      <c r="N303" s="2" t="str">
        <f aca="false">IF(AND(M303&gt;5000,L303&lt;&gt;"East"),"High-Value Merchant Day","No")</f>
        <v>No</v>
      </c>
    </row>
    <row r="304" customFormat="false" ht="15" hidden="false" customHeight="false" outlineLevel="0" collapsed="false">
      <c r="A304" s="2" t="s">
        <v>382</v>
      </c>
      <c r="B304" s="2" t="n">
        <v>181</v>
      </c>
      <c r="C304" s="2" t="n">
        <v>40</v>
      </c>
      <c r="D304" s="9" t="n">
        <v>46037.0736111111</v>
      </c>
      <c r="E304" s="10" t="n">
        <f aca="false">INT(D304)</f>
        <v>46037</v>
      </c>
      <c r="F304" s="2" t="n">
        <v>149</v>
      </c>
      <c r="G304" s="2" t="s">
        <v>56</v>
      </c>
      <c r="H304" s="2" t="s">
        <v>78</v>
      </c>
      <c r="I304" s="2" t="n">
        <v>55</v>
      </c>
      <c r="J304" s="2" t="str">
        <f aca="false">IFERROR(VLOOKUP($C304,merchants!$A$2:$D$41,2,FALSE()),"Merchant not found")</f>
        <v>Merchant_040</v>
      </c>
      <c r="K304" s="2" t="str">
        <f aca="false">IFERROR(VLOOKUP($C304,merchants!$A$2:$D$41,3,FALSE()),"Merchant not found")</f>
        <v>entertainment</v>
      </c>
      <c r="L304" s="2" t="str">
        <f aca="false">IFERROR(VLOOKUP($C304,merchants!$A$2:$D$41,4,FALSE()),"Merchant not found")</f>
        <v>South</v>
      </c>
      <c r="M304" s="2" t="n">
        <f aca="false">SUMIFS($F$2:$F$548,$C$2:$C$548,C304,$E$2:$E$548,E304)</f>
        <v>149</v>
      </c>
      <c r="N304" s="2" t="str">
        <f aca="false">IF(AND(M304&gt;5000,L304&lt;&gt;"East"),"High-Value Merchant Day","No")</f>
        <v>No</v>
      </c>
    </row>
    <row r="305" customFormat="false" ht="15" hidden="false" customHeight="false" outlineLevel="0" collapsed="false">
      <c r="A305" s="2" t="s">
        <v>383</v>
      </c>
      <c r="B305" s="2" t="n">
        <v>30</v>
      </c>
      <c r="C305" s="2" t="n">
        <v>5</v>
      </c>
      <c r="D305" s="9" t="n">
        <v>46031.8680555556</v>
      </c>
      <c r="E305" s="10" t="n">
        <f aca="false">INT(D305)</f>
        <v>46031</v>
      </c>
      <c r="F305" s="2" t="n">
        <v>299</v>
      </c>
      <c r="G305" s="2" t="s">
        <v>56</v>
      </c>
      <c r="H305" s="2" t="s">
        <v>78</v>
      </c>
      <c r="I305" s="2" t="n">
        <v>85</v>
      </c>
      <c r="J305" s="2" t="str">
        <f aca="false">IFERROR(VLOOKUP($C305,merchants!$A$2:$D$41,2,FALSE()),"Merchant not found")</f>
        <v>Merchant_005</v>
      </c>
      <c r="K305" s="2" t="str">
        <f aca="false">IFERROR(VLOOKUP($C305,merchants!$A$2:$D$41,3,FALSE()),"Merchant not found")</f>
        <v>recharge</v>
      </c>
      <c r="L305" s="2" t="str">
        <f aca="false">IFERROR(VLOOKUP($C305,merchants!$A$2:$D$41,4,FALSE()),"Merchant not found")</f>
        <v>South</v>
      </c>
      <c r="M305" s="2" t="n">
        <f aca="false">SUMIFS($F$2:$F$548,$C$2:$C$548,C305,$E$2:$E$548,E305)</f>
        <v>348</v>
      </c>
      <c r="N305" s="2" t="str">
        <f aca="false">IF(AND(M305&gt;5000,L305&lt;&gt;"East"),"High-Value Merchant Day","No")</f>
        <v>No</v>
      </c>
    </row>
    <row r="306" customFormat="false" ht="15" hidden="false" customHeight="false" outlineLevel="0" collapsed="false">
      <c r="A306" s="2" t="s">
        <v>384</v>
      </c>
      <c r="B306" s="2" t="n">
        <v>263</v>
      </c>
      <c r="C306" s="2" t="n">
        <v>11</v>
      </c>
      <c r="D306" s="9" t="n">
        <v>46043.5159722222</v>
      </c>
      <c r="E306" s="10" t="n">
        <f aca="false">INT(D306)</f>
        <v>46043</v>
      </c>
      <c r="F306" s="2" t="n">
        <v>149</v>
      </c>
      <c r="G306" s="2" t="s">
        <v>57</v>
      </c>
      <c r="H306" s="2" t="s">
        <v>78</v>
      </c>
      <c r="I306" s="2" t="n">
        <v>3</v>
      </c>
      <c r="J306" s="2" t="str">
        <f aca="false">IFERROR(VLOOKUP($C306,merchants!$A$2:$D$41,2,FALSE()),"Merchant not found")</f>
        <v>Merchant_011</v>
      </c>
      <c r="K306" s="2" t="str">
        <f aca="false">IFERROR(VLOOKUP($C306,merchants!$A$2:$D$41,3,FALSE()),"Merchant not found")</f>
        <v>ecommerce</v>
      </c>
      <c r="L306" s="2" t="str">
        <f aca="false">IFERROR(VLOOKUP($C306,merchants!$A$2:$D$41,4,FALSE()),"Merchant not found")</f>
        <v>North</v>
      </c>
      <c r="M306" s="2" t="n">
        <f aca="false">SUMIFS($F$2:$F$548,$C$2:$C$548,C306,$E$2:$E$548,E306)</f>
        <v>149</v>
      </c>
      <c r="N306" s="2" t="str">
        <f aca="false">IF(AND(M306&gt;5000,L306&lt;&gt;"East"),"High-Value Merchant Day","No")</f>
        <v>No</v>
      </c>
    </row>
    <row r="307" customFormat="false" ht="15" hidden="false" customHeight="false" outlineLevel="0" collapsed="false">
      <c r="A307" s="2" t="s">
        <v>385</v>
      </c>
      <c r="B307" s="2" t="n">
        <v>225</v>
      </c>
      <c r="C307" s="2" t="n">
        <v>3</v>
      </c>
      <c r="D307" s="9" t="n">
        <v>46027.8215277778</v>
      </c>
      <c r="E307" s="10" t="n">
        <f aca="false">INT(D307)</f>
        <v>46027</v>
      </c>
      <c r="F307" s="2" t="n">
        <v>99</v>
      </c>
      <c r="G307" s="2" t="s">
        <v>59</v>
      </c>
      <c r="H307" s="2" t="s">
        <v>78</v>
      </c>
      <c r="I307" s="2" t="n">
        <v>16</v>
      </c>
      <c r="J307" s="2" t="str">
        <f aca="false">IFERROR(VLOOKUP($C307,merchants!$A$2:$D$41,2,FALSE()),"Merchant not found")</f>
        <v>Merchant_003</v>
      </c>
      <c r="K307" s="2" t="str">
        <f aca="false">IFERROR(VLOOKUP($C307,merchants!$A$2:$D$41,3,FALSE()),"Merchant not found")</f>
        <v>grocery</v>
      </c>
      <c r="L307" s="2" t="str">
        <f aca="false">IFERROR(VLOOKUP($C307,merchants!$A$2:$D$41,4,FALSE()),"Merchant not found")</f>
        <v>East</v>
      </c>
      <c r="M307" s="2" t="n">
        <f aca="false">SUMIFS($F$2:$F$548,$C$2:$C$548,C307,$E$2:$E$548,E307)</f>
        <v>99</v>
      </c>
      <c r="N307" s="2" t="str">
        <f aca="false">IF(AND(M307&gt;5000,L307&lt;&gt;"East"),"High-Value Merchant Day","No")</f>
        <v>No</v>
      </c>
    </row>
    <row r="308" customFormat="false" ht="15" hidden="false" customHeight="false" outlineLevel="0" collapsed="false">
      <c r="A308" s="2" t="s">
        <v>386</v>
      </c>
      <c r="B308" s="2" t="n">
        <v>331</v>
      </c>
      <c r="C308" s="2" t="n">
        <v>24</v>
      </c>
      <c r="D308" s="9" t="n">
        <v>46025.3256944444</v>
      </c>
      <c r="E308" s="10" t="n">
        <f aca="false">INT(D308)</f>
        <v>46025</v>
      </c>
      <c r="F308" s="2" t="n">
        <v>49</v>
      </c>
      <c r="G308" s="2" t="s">
        <v>58</v>
      </c>
      <c r="H308" s="2" t="s">
        <v>78</v>
      </c>
      <c r="I308" s="2" t="n">
        <v>46</v>
      </c>
      <c r="J308" s="2" t="str">
        <f aca="false">IFERROR(VLOOKUP($C308,merchants!$A$2:$D$41,2,FALSE()),"Merchant not found")</f>
        <v>Merchant_024</v>
      </c>
      <c r="K308" s="2" t="str">
        <f aca="false">IFERROR(VLOOKUP($C308,merchants!$A$2:$D$41,3,FALSE()),"Merchant not found")</f>
        <v>grocery</v>
      </c>
      <c r="L308" s="2" t="str">
        <f aca="false">IFERROR(VLOOKUP($C308,merchants!$A$2:$D$41,4,FALSE()),"Merchant not found")</f>
        <v>North</v>
      </c>
      <c r="M308" s="2" t="n">
        <f aca="false">SUMIFS($F$2:$F$548,$C$2:$C$548,C308,$E$2:$E$548,E308)</f>
        <v>49</v>
      </c>
      <c r="N308" s="2" t="str">
        <f aca="false">IF(AND(M308&gt;5000,L308&lt;&gt;"East"),"High-Value Merchant Day","No")</f>
        <v>No</v>
      </c>
    </row>
    <row r="309" customFormat="false" ht="15" hidden="false" customHeight="false" outlineLevel="0" collapsed="false">
      <c r="A309" s="2" t="s">
        <v>387</v>
      </c>
      <c r="B309" s="2" t="n">
        <v>310</v>
      </c>
      <c r="C309" s="2" t="n">
        <v>10</v>
      </c>
      <c r="D309" s="9" t="n">
        <v>46035.7513888889</v>
      </c>
      <c r="E309" s="10" t="n">
        <f aca="false">INT(D309)</f>
        <v>46035</v>
      </c>
      <c r="F309" s="2" t="n">
        <v>1499</v>
      </c>
      <c r="G309" s="2" t="s">
        <v>58</v>
      </c>
      <c r="H309" s="2" t="s">
        <v>78</v>
      </c>
      <c r="I309" s="2" t="n">
        <v>86</v>
      </c>
      <c r="J309" s="2" t="str">
        <f aca="false">IFERROR(VLOOKUP($C309,merchants!$A$2:$D$41,2,FALSE()),"Merchant not found")</f>
        <v>Merchant_010</v>
      </c>
      <c r="K309" s="2" t="str">
        <f aca="false">IFERROR(VLOOKUP($C309,merchants!$A$2:$D$41,3,FALSE()),"Merchant not found")</f>
        <v>grocery</v>
      </c>
      <c r="L309" s="2" t="str">
        <f aca="false">IFERROR(VLOOKUP($C309,merchants!$A$2:$D$41,4,FALSE()),"Merchant not found")</f>
        <v>West</v>
      </c>
      <c r="M309" s="2" t="n">
        <f aca="false">SUMIFS($F$2:$F$548,$C$2:$C$548,C309,$E$2:$E$548,E309)</f>
        <v>1499</v>
      </c>
      <c r="N309" s="2" t="str">
        <f aca="false">IF(AND(M309&gt;5000,L309&lt;&gt;"East"),"High-Value Merchant Day","No")</f>
        <v>No</v>
      </c>
    </row>
    <row r="310" customFormat="false" ht="15" hidden="false" customHeight="false" outlineLevel="0" collapsed="false">
      <c r="A310" s="2" t="s">
        <v>388</v>
      </c>
      <c r="B310" s="2" t="n">
        <v>228</v>
      </c>
      <c r="C310" s="2" t="n">
        <v>5</v>
      </c>
      <c r="D310" s="9" t="n">
        <v>46037.4743055556</v>
      </c>
      <c r="E310" s="10" t="n">
        <f aca="false">INT(D310)</f>
        <v>46037</v>
      </c>
      <c r="F310" s="2" t="n">
        <v>49</v>
      </c>
      <c r="G310" s="2" t="s">
        <v>56</v>
      </c>
      <c r="H310" s="2" t="s">
        <v>78</v>
      </c>
      <c r="I310" s="2" t="n">
        <v>73</v>
      </c>
      <c r="J310" s="2" t="str">
        <f aca="false">IFERROR(VLOOKUP($C310,merchants!$A$2:$D$41,2,FALSE()),"Merchant not found")</f>
        <v>Merchant_005</v>
      </c>
      <c r="K310" s="2" t="str">
        <f aca="false">IFERROR(VLOOKUP($C310,merchants!$A$2:$D$41,3,FALSE()),"Merchant not found")</f>
        <v>recharge</v>
      </c>
      <c r="L310" s="2" t="str">
        <f aca="false">IFERROR(VLOOKUP($C310,merchants!$A$2:$D$41,4,FALSE()),"Merchant not found")</f>
        <v>South</v>
      </c>
      <c r="M310" s="2" t="n">
        <f aca="false">SUMIFS($F$2:$F$548,$C$2:$C$548,C310,$E$2:$E$548,E310)</f>
        <v>548</v>
      </c>
      <c r="N310" s="2" t="str">
        <f aca="false">IF(AND(M310&gt;5000,L310&lt;&gt;"East"),"High-Value Merchant Day","No")</f>
        <v>No</v>
      </c>
    </row>
    <row r="311" customFormat="false" ht="15" hidden="false" customHeight="false" outlineLevel="0" collapsed="false">
      <c r="A311" s="2" t="s">
        <v>389</v>
      </c>
      <c r="B311" s="2" t="n">
        <v>204</v>
      </c>
      <c r="C311" s="2" t="n">
        <v>21</v>
      </c>
      <c r="D311" s="9" t="n">
        <v>46027.6826388889</v>
      </c>
      <c r="E311" s="10" t="n">
        <f aca="false">INT(D311)</f>
        <v>46027</v>
      </c>
      <c r="F311" s="2" t="n">
        <v>499</v>
      </c>
      <c r="G311" s="2" t="s">
        <v>56</v>
      </c>
      <c r="H311" s="2" t="s">
        <v>78</v>
      </c>
      <c r="I311" s="2" t="n">
        <v>83</v>
      </c>
      <c r="J311" s="2" t="str">
        <f aca="false">IFERROR(VLOOKUP($C311,merchants!$A$2:$D$41,2,FALSE()),"Merchant not found")</f>
        <v>Merchant_021</v>
      </c>
      <c r="K311" s="2" t="str">
        <f aca="false">IFERROR(VLOOKUP($C311,merchants!$A$2:$D$41,3,FALSE()),"Merchant not found")</f>
        <v>food_delivery</v>
      </c>
      <c r="L311" s="2" t="str">
        <f aca="false">IFERROR(VLOOKUP($C311,merchants!$A$2:$D$41,4,FALSE()),"Merchant not found")</f>
        <v>East</v>
      </c>
      <c r="M311" s="2" t="n">
        <f aca="false">SUMIFS($F$2:$F$548,$C$2:$C$548,C311,$E$2:$E$548,E311)</f>
        <v>499</v>
      </c>
      <c r="N311" s="2" t="str">
        <f aca="false">IF(AND(M311&gt;5000,L311&lt;&gt;"East"),"High-Value Merchant Day","No")</f>
        <v>No</v>
      </c>
    </row>
    <row r="312" customFormat="false" ht="15" hidden="false" customHeight="false" outlineLevel="0" collapsed="false">
      <c r="A312" s="2" t="s">
        <v>390</v>
      </c>
      <c r="B312" s="2" t="n">
        <v>14</v>
      </c>
      <c r="C312" s="2" t="n">
        <v>12</v>
      </c>
      <c r="D312" s="9" t="n">
        <v>46031.2965277778</v>
      </c>
      <c r="E312" s="10" t="n">
        <f aca="false">INT(D312)</f>
        <v>46031</v>
      </c>
      <c r="F312" s="2" t="n">
        <v>799</v>
      </c>
      <c r="G312" s="2" t="s">
        <v>59</v>
      </c>
      <c r="H312" s="2" t="s">
        <v>78</v>
      </c>
      <c r="I312" s="2" t="n">
        <v>63</v>
      </c>
      <c r="J312" s="2" t="str">
        <f aca="false">IFERROR(VLOOKUP($C312,merchants!$A$2:$D$41,2,FALSE()),"Merchant not found")</f>
        <v>Merchant_012</v>
      </c>
      <c r="K312" s="2" t="str">
        <f aca="false">IFERROR(VLOOKUP($C312,merchants!$A$2:$D$41,3,FALSE()),"Merchant not found")</f>
        <v>ecommerce</v>
      </c>
      <c r="L312" s="2" t="str">
        <f aca="false">IFERROR(VLOOKUP($C312,merchants!$A$2:$D$41,4,FALSE()),"Merchant not found")</f>
        <v>East</v>
      </c>
      <c r="M312" s="2" t="n">
        <f aca="false">SUMIFS($F$2:$F$548,$C$2:$C$548,C312,$E$2:$E$548,E312)</f>
        <v>799</v>
      </c>
      <c r="N312" s="2" t="str">
        <f aca="false">IF(AND(M312&gt;5000,L312&lt;&gt;"East"),"High-Value Merchant Day","No")</f>
        <v>No</v>
      </c>
    </row>
    <row r="313" customFormat="false" ht="15" hidden="false" customHeight="false" outlineLevel="0" collapsed="false">
      <c r="A313" s="2" t="s">
        <v>391</v>
      </c>
      <c r="B313" s="2" t="n">
        <v>288</v>
      </c>
      <c r="C313" s="2" t="n">
        <v>8</v>
      </c>
      <c r="D313" s="9" t="n">
        <v>46039.5402777778</v>
      </c>
      <c r="E313" s="10" t="n">
        <f aca="false">INT(D313)</f>
        <v>46039</v>
      </c>
      <c r="F313" s="2" t="n">
        <v>49</v>
      </c>
      <c r="G313" s="2" t="s">
        <v>56</v>
      </c>
      <c r="H313" s="2" t="s">
        <v>78</v>
      </c>
      <c r="I313" s="2" t="n">
        <v>33</v>
      </c>
      <c r="J313" s="2" t="str">
        <f aca="false">IFERROR(VLOOKUP($C313,merchants!$A$2:$D$41,2,FALSE()),"Merchant not found")</f>
        <v>Merchant_008</v>
      </c>
      <c r="K313" s="2" t="str">
        <f aca="false">IFERROR(VLOOKUP($C313,merchants!$A$2:$D$41,3,FALSE()),"Merchant not found")</f>
        <v>food_delivery</v>
      </c>
      <c r="L313" s="2" t="str">
        <f aca="false">IFERROR(VLOOKUP($C313,merchants!$A$2:$D$41,4,FALSE()),"Merchant not found")</f>
        <v>North</v>
      </c>
      <c r="M313" s="2" t="n">
        <f aca="false">SUMIFS($F$2:$F$548,$C$2:$C$548,C313,$E$2:$E$548,E313)</f>
        <v>348</v>
      </c>
      <c r="N313" s="2" t="str">
        <f aca="false">IF(AND(M313&gt;5000,L313&lt;&gt;"East"),"High-Value Merchant Day","No")</f>
        <v>No</v>
      </c>
    </row>
    <row r="314" customFormat="false" ht="15" hidden="false" customHeight="false" outlineLevel="0" collapsed="false">
      <c r="A314" s="2" t="s">
        <v>392</v>
      </c>
      <c r="B314" s="2" t="n">
        <v>229</v>
      </c>
      <c r="C314" s="2" t="n">
        <v>14</v>
      </c>
      <c r="D314" s="9" t="n">
        <v>46047.3645833333</v>
      </c>
      <c r="E314" s="10" t="n">
        <f aca="false">INT(D314)</f>
        <v>46047</v>
      </c>
      <c r="F314" s="2" t="n">
        <v>1499</v>
      </c>
      <c r="G314" s="2" t="s">
        <v>56</v>
      </c>
      <c r="H314" s="2" t="s">
        <v>78</v>
      </c>
      <c r="I314" s="2" t="n">
        <v>78</v>
      </c>
      <c r="J314" s="2" t="str">
        <f aca="false">IFERROR(VLOOKUP($C314,merchants!$A$2:$D$41,2,FALSE()),"Merchant not found")</f>
        <v>Merchant_014</v>
      </c>
      <c r="K314" s="2" t="str">
        <f aca="false">IFERROR(VLOOKUP($C314,merchants!$A$2:$D$41,3,FALSE()),"Merchant not found")</f>
        <v>grocery</v>
      </c>
      <c r="L314" s="2" t="str">
        <f aca="false">IFERROR(VLOOKUP($C314,merchants!$A$2:$D$41,4,FALSE()),"Merchant not found")</f>
        <v>East</v>
      </c>
      <c r="M314" s="2" t="n">
        <f aca="false">SUMIFS($F$2:$F$548,$C$2:$C$548,C314,$E$2:$E$548,E314)</f>
        <v>1598</v>
      </c>
      <c r="N314" s="2" t="str">
        <f aca="false">IF(AND(M314&gt;5000,L314&lt;&gt;"East"),"High-Value Merchant Day","No")</f>
        <v>No</v>
      </c>
    </row>
    <row r="315" customFormat="false" ht="15" hidden="false" customHeight="false" outlineLevel="0" collapsed="false">
      <c r="A315" s="2" t="s">
        <v>393</v>
      </c>
      <c r="B315" s="2" t="n">
        <v>252</v>
      </c>
      <c r="C315" s="2" t="n">
        <v>13</v>
      </c>
      <c r="D315" s="9" t="n">
        <v>46032.9569444444</v>
      </c>
      <c r="E315" s="10" t="n">
        <f aca="false">INT(D315)</f>
        <v>46032</v>
      </c>
      <c r="F315" s="2" t="n">
        <v>99</v>
      </c>
      <c r="G315" s="2" t="s">
        <v>57</v>
      </c>
      <c r="H315" s="2" t="s">
        <v>78</v>
      </c>
      <c r="I315" s="2" t="n">
        <v>15</v>
      </c>
      <c r="J315" s="2" t="str">
        <f aca="false">IFERROR(VLOOKUP($C315,merchants!$A$2:$D$41,2,FALSE()),"Merchant not found")</f>
        <v>Merchant_013</v>
      </c>
      <c r="K315" s="2" t="str">
        <f aca="false">IFERROR(VLOOKUP($C315,merchants!$A$2:$D$41,3,FALSE()),"Merchant not found")</f>
        <v>travel</v>
      </c>
      <c r="L315" s="2" t="str">
        <f aca="false">IFERROR(VLOOKUP($C315,merchants!$A$2:$D$41,4,FALSE()),"Merchant not found")</f>
        <v>East</v>
      </c>
      <c r="M315" s="2" t="n">
        <f aca="false">SUMIFS($F$2:$F$548,$C$2:$C$548,C315,$E$2:$E$548,E315)</f>
        <v>99</v>
      </c>
      <c r="N315" s="2" t="str">
        <f aca="false">IF(AND(M315&gt;5000,L315&lt;&gt;"East"),"High-Value Merchant Day","No")</f>
        <v>No</v>
      </c>
    </row>
    <row r="316" customFormat="false" ht="15" hidden="false" customHeight="false" outlineLevel="0" collapsed="false">
      <c r="A316" s="2" t="s">
        <v>394</v>
      </c>
      <c r="B316" s="2" t="n">
        <v>89</v>
      </c>
      <c r="C316" s="2" t="n">
        <v>29</v>
      </c>
      <c r="D316" s="9" t="n">
        <v>46027.1027777778</v>
      </c>
      <c r="E316" s="10" t="n">
        <f aca="false">INT(D316)</f>
        <v>46027</v>
      </c>
      <c r="F316" s="2" t="n">
        <v>799</v>
      </c>
      <c r="G316" s="2" t="s">
        <v>56</v>
      </c>
      <c r="H316" s="2" t="s">
        <v>78</v>
      </c>
      <c r="I316" s="2" t="n">
        <v>11</v>
      </c>
      <c r="J316" s="2" t="str">
        <f aca="false">IFERROR(VLOOKUP($C316,merchants!$A$2:$D$41,2,FALSE()),"Merchant not found")</f>
        <v>Merchant_029</v>
      </c>
      <c r="K316" s="2" t="str">
        <f aca="false">IFERROR(VLOOKUP($C316,merchants!$A$2:$D$41,3,FALSE()),"Merchant not found")</f>
        <v>ecommerce</v>
      </c>
      <c r="L316" s="2" t="str">
        <f aca="false">IFERROR(VLOOKUP($C316,merchants!$A$2:$D$41,4,FALSE()),"Merchant not found")</f>
        <v>North</v>
      </c>
      <c r="M316" s="2" t="n">
        <f aca="false">SUMIFS($F$2:$F$548,$C$2:$C$548,C316,$E$2:$E$548,E316)</f>
        <v>799</v>
      </c>
      <c r="N316" s="2" t="str">
        <f aca="false">IF(AND(M316&gt;5000,L316&lt;&gt;"East"),"High-Value Merchant Day","No")</f>
        <v>No</v>
      </c>
    </row>
    <row r="317" customFormat="false" ht="15" hidden="false" customHeight="false" outlineLevel="0" collapsed="false">
      <c r="A317" s="2" t="s">
        <v>395</v>
      </c>
      <c r="B317" s="2" t="n">
        <v>164</v>
      </c>
      <c r="C317" s="2" t="n">
        <v>23</v>
      </c>
      <c r="D317" s="9" t="n">
        <v>46048.9125</v>
      </c>
      <c r="E317" s="10" t="n">
        <f aca="false">INT(D317)</f>
        <v>46048</v>
      </c>
      <c r="F317" s="2" t="n">
        <v>49</v>
      </c>
      <c r="G317" s="2" t="s">
        <v>59</v>
      </c>
      <c r="H317" s="2" t="s">
        <v>78</v>
      </c>
      <c r="I317" s="2" t="n">
        <v>90</v>
      </c>
      <c r="J317" s="2" t="str">
        <f aca="false">IFERROR(VLOOKUP($C317,merchants!$A$2:$D$41,2,FALSE()),"Merchant not found")</f>
        <v>Merchant_023</v>
      </c>
      <c r="K317" s="2" t="str">
        <f aca="false">IFERROR(VLOOKUP($C317,merchants!$A$2:$D$41,3,FALSE()),"Merchant not found")</f>
        <v>travel</v>
      </c>
      <c r="L317" s="2" t="str">
        <f aca="false">IFERROR(VLOOKUP($C317,merchants!$A$2:$D$41,4,FALSE()),"Merchant not found")</f>
        <v>North</v>
      </c>
      <c r="M317" s="2" t="n">
        <f aca="false">SUMIFS($F$2:$F$548,$C$2:$C$548,C317,$E$2:$E$548,E317)</f>
        <v>49</v>
      </c>
      <c r="N317" s="2" t="str">
        <f aca="false">IF(AND(M317&gt;5000,L317&lt;&gt;"East"),"High-Value Merchant Day","No")</f>
        <v>No</v>
      </c>
    </row>
    <row r="318" customFormat="false" ht="15" hidden="false" customHeight="false" outlineLevel="0" collapsed="false">
      <c r="A318" s="2" t="s">
        <v>396</v>
      </c>
      <c r="B318" s="2" t="n">
        <v>149</v>
      </c>
      <c r="C318" s="2" t="n">
        <v>20</v>
      </c>
      <c r="D318" s="9" t="n">
        <v>46025.7319444444</v>
      </c>
      <c r="E318" s="10" t="n">
        <f aca="false">INT(D318)</f>
        <v>46025</v>
      </c>
      <c r="F318" s="2" t="n">
        <v>299</v>
      </c>
      <c r="G318" s="2" t="s">
        <v>57</v>
      </c>
      <c r="H318" s="2" t="s">
        <v>78</v>
      </c>
      <c r="I318" s="2" t="n">
        <v>20</v>
      </c>
      <c r="J318" s="2" t="str">
        <f aca="false">IFERROR(VLOOKUP($C318,merchants!$A$2:$D$41,2,FALSE()),"Merchant not found")</f>
        <v>Merchant_020</v>
      </c>
      <c r="K318" s="2" t="str">
        <f aca="false">IFERROR(VLOOKUP($C318,merchants!$A$2:$D$41,3,FALSE()),"Merchant not found")</f>
        <v>food_delivery</v>
      </c>
      <c r="L318" s="2" t="str">
        <f aca="false">IFERROR(VLOOKUP($C318,merchants!$A$2:$D$41,4,FALSE()),"Merchant not found")</f>
        <v>East</v>
      </c>
      <c r="M318" s="2" t="n">
        <f aca="false">SUMIFS($F$2:$F$548,$C$2:$C$548,C318,$E$2:$E$548,E318)</f>
        <v>348</v>
      </c>
      <c r="N318" s="2" t="str">
        <f aca="false">IF(AND(M318&gt;5000,L318&lt;&gt;"East"),"High-Value Merchant Day","No")</f>
        <v>No</v>
      </c>
    </row>
    <row r="319" customFormat="false" ht="15" hidden="false" customHeight="false" outlineLevel="0" collapsed="false">
      <c r="A319" s="2" t="s">
        <v>397</v>
      </c>
      <c r="B319" s="2" t="n">
        <v>327</v>
      </c>
      <c r="C319" s="2" t="n">
        <v>12</v>
      </c>
      <c r="D319" s="9" t="n">
        <v>46045.9576388889</v>
      </c>
      <c r="E319" s="10" t="n">
        <f aca="false">INT(D319)</f>
        <v>46045</v>
      </c>
      <c r="F319" s="2" t="n">
        <v>49</v>
      </c>
      <c r="G319" s="2" t="s">
        <v>59</v>
      </c>
      <c r="H319" s="2" t="s">
        <v>78</v>
      </c>
      <c r="I319" s="2" t="n">
        <v>46</v>
      </c>
      <c r="J319" s="2" t="str">
        <f aca="false">IFERROR(VLOOKUP($C319,merchants!$A$2:$D$41,2,FALSE()),"Merchant not found")</f>
        <v>Merchant_012</v>
      </c>
      <c r="K319" s="2" t="str">
        <f aca="false">IFERROR(VLOOKUP($C319,merchants!$A$2:$D$41,3,FALSE()),"Merchant not found")</f>
        <v>ecommerce</v>
      </c>
      <c r="L319" s="2" t="str">
        <f aca="false">IFERROR(VLOOKUP($C319,merchants!$A$2:$D$41,4,FALSE()),"Merchant not found")</f>
        <v>East</v>
      </c>
      <c r="M319" s="2" t="n">
        <f aca="false">SUMIFS($F$2:$F$548,$C$2:$C$548,C319,$E$2:$E$548,E319)</f>
        <v>448</v>
      </c>
      <c r="N319" s="2" t="str">
        <f aca="false">IF(AND(M319&gt;5000,L319&lt;&gt;"East"),"High-Value Merchant Day","No")</f>
        <v>No</v>
      </c>
    </row>
    <row r="320" customFormat="false" ht="15" hidden="false" customHeight="false" outlineLevel="0" collapsed="false">
      <c r="A320" s="2" t="s">
        <v>398</v>
      </c>
      <c r="B320" s="2" t="n">
        <v>103</v>
      </c>
      <c r="C320" s="2" t="n">
        <v>9</v>
      </c>
      <c r="D320" s="9" t="n">
        <v>46039.2965277778</v>
      </c>
      <c r="E320" s="10" t="n">
        <f aca="false">INT(D320)</f>
        <v>46039</v>
      </c>
      <c r="F320" s="2" t="n">
        <v>149</v>
      </c>
      <c r="G320" s="2" t="s">
        <v>56</v>
      </c>
      <c r="H320" s="2" t="s">
        <v>78</v>
      </c>
      <c r="I320" s="2" t="n">
        <v>30</v>
      </c>
      <c r="J320" s="2" t="str">
        <f aca="false">IFERROR(VLOOKUP($C320,merchants!$A$2:$D$41,2,FALSE()),"Merchant not found")</f>
        <v>Merchant_009</v>
      </c>
      <c r="K320" s="2" t="str">
        <f aca="false">IFERROR(VLOOKUP($C320,merchants!$A$2:$D$41,3,FALSE()),"Merchant not found")</f>
        <v>ecommerce</v>
      </c>
      <c r="L320" s="2" t="str">
        <f aca="false">IFERROR(VLOOKUP($C320,merchants!$A$2:$D$41,4,FALSE()),"Merchant not found")</f>
        <v>North</v>
      </c>
      <c r="M320" s="2" t="n">
        <f aca="false">SUMIFS($F$2:$F$548,$C$2:$C$548,C320,$E$2:$E$548,E320)</f>
        <v>248</v>
      </c>
      <c r="N320" s="2" t="str">
        <f aca="false">IF(AND(M320&gt;5000,L320&lt;&gt;"East"),"High-Value Merchant Day","No")</f>
        <v>No</v>
      </c>
    </row>
    <row r="321" customFormat="false" ht="15" hidden="false" customHeight="false" outlineLevel="0" collapsed="false">
      <c r="A321" s="2" t="s">
        <v>399</v>
      </c>
      <c r="B321" s="2" t="n">
        <v>185</v>
      </c>
      <c r="C321" s="2" t="n">
        <v>36</v>
      </c>
      <c r="D321" s="9" t="n">
        <v>46048.6256944445</v>
      </c>
      <c r="E321" s="10" t="n">
        <f aca="false">INT(D321)</f>
        <v>46048</v>
      </c>
      <c r="F321" s="2" t="n">
        <v>49</v>
      </c>
      <c r="G321" s="2" t="s">
        <v>57</v>
      </c>
      <c r="H321" s="2" t="s">
        <v>78</v>
      </c>
      <c r="I321" s="2" t="n">
        <v>73</v>
      </c>
      <c r="J321" s="2" t="str">
        <f aca="false">IFERROR(VLOOKUP($C321,merchants!$A$2:$D$41,2,FALSE()),"Merchant not found")</f>
        <v>Merchant_036</v>
      </c>
      <c r="K321" s="2" t="str">
        <f aca="false">IFERROR(VLOOKUP($C321,merchants!$A$2:$D$41,3,FALSE()),"Merchant not found")</f>
        <v>entertainment</v>
      </c>
      <c r="L321" s="2" t="str">
        <f aca="false">IFERROR(VLOOKUP($C321,merchants!$A$2:$D$41,4,FALSE()),"Merchant not found")</f>
        <v>East</v>
      </c>
      <c r="M321" s="2" t="n">
        <f aca="false">SUMIFS($F$2:$F$548,$C$2:$C$548,C321,$E$2:$E$548,E321)</f>
        <v>198</v>
      </c>
      <c r="N321" s="2" t="str">
        <f aca="false">IF(AND(M321&gt;5000,L321&lt;&gt;"East"),"High-Value Merchant Day","No")</f>
        <v>No</v>
      </c>
    </row>
    <row r="322" customFormat="false" ht="15" hidden="false" customHeight="false" outlineLevel="0" collapsed="false">
      <c r="A322" s="2" t="s">
        <v>400</v>
      </c>
      <c r="B322" s="2" t="n">
        <v>283</v>
      </c>
      <c r="C322" s="2" t="n">
        <v>9</v>
      </c>
      <c r="D322" s="9" t="n">
        <v>46034.61875</v>
      </c>
      <c r="E322" s="10" t="n">
        <f aca="false">INT(D322)</f>
        <v>46034</v>
      </c>
      <c r="F322" s="2" t="n">
        <v>299</v>
      </c>
      <c r="G322" s="2" t="s">
        <v>56</v>
      </c>
      <c r="H322" s="2" t="s">
        <v>78</v>
      </c>
      <c r="I322" s="2" t="n">
        <v>78</v>
      </c>
      <c r="J322" s="2" t="str">
        <f aca="false">IFERROR(VLOOKUP($C322,merchants!$A$2:$D$41,2,FALSE()),"Merchant not found")</f>
        <v>Merchant_009</v>
      </c>
      <c r="K322" s="2" t="str">
        <f aca="false">IFERROR(VLOOKUP($C322,merchants!$A$2:$D$41,3,FALSE()),"Merchant not found")</f>
        <v>ecommerce</v>
      </c>
      <c r="L322" s="2" t="str">
        <f aca="false">IFERROR(VLOOKUP($C322,merchants!$A$2:$D$41,4,FALSE()),"Merchant not found")</f>
        <v>North</v>
      </c>
      <c r="M322" s="2" t="n">
        <f aca="false">SUMIFS($F$2:$F$548,$C$2:$C$548,C322,$E$2:$E$548,E322)</f>
        <v>299</v>
      </c>
      <c r="N322" s="2" t="str">
        <f aca="false">IF(AND(M322&gt;5000,L322&lt;&gt;"East"),"High-Value Merchant Day","No")</f>
        <v>No</v>
      </c>
    </row>
    <row r="323" customFormat="false" ht="15" hidden="false" customHeight="false" outlineLevel="0" collapsed="false">
      <c r="A323" s="2" t="s">
        <v>401</v>
      </c>
      <c r="B323" s="2" t="n">
        <v>159</v>
      </c>
      <c r="C323" s="2" t="n">
        <v>26</v>
      </c>
      <c r="D323" s="9" t="n">
        <v>46051.0861111111</v>
      </c>
      <c r="E323" s="10" t="n">
        <f aca="false">INT(D323)</f>
        <v>46051</v>
      </c>
      <c r="F323" s="2" t="n">
        <v>99</v>
      </c>
      <c r="G323" s="2" t="s">
        <v>56</v>
      </c>
      <c r="H323" s="2" t="s">
        <v>78</v>
      </c>
      <c r="I323" s="2" t="n">
        <v>91</v>
      </c>
      <c r="J323" s="2" t="str">
        <f aca="false">IFERROR(VLOOKUP($C323,merchants!$A$2:$D$41,2,FALSE()),"Merchant not found")</f>
        <v>Merchant_026</v>
      </c>
      <c r="K323" s="2" t="str">
        <f aca="false">IFERROR(VLOOKUP($C323,merchants!$A$2:$D$41,3,FALSE()),"Merchant not found")</f>
        <v>food_delivery</v>
      </c>
      <c r="L323" s="2" t="str">
        <f aca="false">IFERROR(VLOOKUP($C323,merchants!$A$2:$D$41,4,FALSE()),"Merchant not found")</f>
        <v>East</v>
      </c>
      <c r="M323" s="2" t="n">
        <f aca="false">SUMIFS($F$2:$F$548,$C$2:$C$548,C323,$E$2:$E$548,E323)</f>
        <v>148</v>
      </c>
      <c r="N323" s="2" t="str">
        <f aca="false">IF(AND(M323&gt;5000,L323&lt;&gt;"East"),"High-Value Merchant Day","No")</f>
        <v>No</v>
      </c>
    </row>
    <row r="324" customFormat="false" ht="15" hidden="false" customHeight="false" outlineLevel="0" collapsed="false">
      <c r="A324" s="2" t="s">
        <v>402</v>
      </c>
      <c r="B324" s="2" t="n">
        <v>211</v>
      </c>
      <c r="C324" s="2" t="n">
        <v>27</v>
      </c>
      <c r="D324" s="9" t="n">
        <v>46046.6479166667</v>
      </c>
      <c r="E324" s="10" t="n">
        <f aca="false">INT(D324)</f>
        <v>46046</v>
      </c>
      <c r="F324" s="2" t="n">
        <v>99</v>
      </c>
      <c r="G324" s="2" t="s">
        <v>57</v>
      </c>
      <c r="H324" s="2" t="s">
        <v>78</v>
      </c>
      <c r="I324" s="2" t="n">
        <v>73</v>
      </c>
      <c r="J324" s="2" t="str">
        <f aca="false">IFERROR(VLOOKUP($C324,merchants!$A$2:$D$41,2,FALSE()),"Merchant not found")</f>
        <v>Merchant_027</v>
      </c>
      <c r="K324" s="2" t="str">
        <f aca="false">IFERROR(VLOOKUP($C324,merchants!$A$2:$D$41,3,FALSE()),"Merchant not found")</f>
        <v>ecommerce</v>
      </c>
      <c r="L324" s="2" t="str">
        <f aca="false">IFERROR(VLOOKUP($C324,merchants!$A$2:$D$41,4,FALSE()),"Merchant not found")</f>
        <v>North</v>
      </c>
      <c r="M324" s="2" t="n">
        <f aca="false">SUMIFS($F$2:$F$548,$C$2:$C$548,C324,$E$2:$E$548,E324)</f>
        <v>99</v>
      </c>
      <c r="N324" s="2" t="str">
        <f aca="false">IF(AND(M324&gt;5000,L324&lt;&gt;"East"),"High-Value Merchant Day","No")</f>
        <v>No</v>
      </c>
    </row>
    <row r="325" customFormat="false" ht="15" hidden="false" customHeight="false" outlineLevel="0" collapsed="false">
      <c r="A325" s="2" t="s">
        <v>403</v>
      </c>
      <c r="B325" s="2" t="n">
        <v>329</v>
      </c>
      <c r="C325" s="2" t="n">
        <v>5</v>
      </c>
      <c r="D325" s="9" t="n">
        <v>46025.1805555556</v>
      </c>
      <c r="E325" s="10" t="n">
        <f aca="false">INT(D325)</f>
        <v>46025</v>
      </c>
      <c r="F325" s="2" t="n">
        <v>499</v>
      </c>
      <c r="G325" s="2" t="s">
        <v>59</v>
      </c>
      <c r="H325" s="2" t="s">
        <v>78</v>
      </c>
      <c r="I325" s="2" t="n">
        <v>57</v>
      </c>
      <c r="J325" s="2" t="str">
        <f aca="false">IFERROR(VLOOKUP($C325,merchants!$A$2:$D$41,2,FALSE()),"Merchant not found")</f>
        <v>Merchant_005</v>
      </c>
      <c r="K325" s="2" t="str">
        <f aca="false">IFERROR(VLOOKUP($C325,merchants!$A$2:$D$41,3,FALSE()),"Merchant not found")</f>
        <v>recharge</v>
      </c>
      <c r="L325" s="2" t="str">
        <f aca="false">IFERROR(VLOOKUP($C325,merchants!$A$2:$D$41,4,FALSE()),"Merchant not found")</f>
        <v>South</v>
      </c>
      <c r="M325" s="2" t="n">
        <f aca="false">SUMIFS($F$2:$F$548,$C$2:$C$548,C325,$E$2:$E$548,E325)</f>
        <v>499</v>
      </c>
      <c r="N325" s="2" t="str">
        <f aca="false">IF(AND(M325&gt;5000,L325&lt;&gt;"East"),"High-Value Merchant Day","No")</f>
        <v>No</v>
      </c>
    </row>
    <row r="326" customFormat="false" ht="15" hidden="false" customHeight="false" outlineLevel="0" collapsed="false">
      <c r="A326" s="2" t="s">
        <v>404</v>
      </c>
      <c r="B326" s="2" t="n">
        <v>177</v>
      </c>
      <c r="C326" s="2" t="n">
        <v>9</v>
      </c>
      <c r="D326" s="9" t="n">
        <v>46037.8979166667</v>
      </c>
      <c r="E326" s="10" t="n">
        <f aca="false">INT(D326)</f>
        <v>46037</v>
      </c>
      <c r="F326" s="2" t="n">
        <v>99</v>
      </c>
      <c r="G326" s="2" t="s">
        <v>56</v>
      </c>
      <c r="H326" s="2" t="s">
        <v>78</v>
      </c>
      <c r="I326" s="2" t="n">
        <v>99</v>
      </c>
      <c r="J326" s="2" t="str">
        <f aca="false">IFERROR(VLOOKUP($C326,merchants!$A$2:$D$41,2,FALSE()),"Merchant not found")</f>
        <v>Merchant_009</v>
      </c>
      <c r="K326" s="2" t="str">
        <f aca="false">IFERROR(VLOOKUP($C326,merchants!$A$2:$D$41,3,FALSE()),"Merchant not found")</f>
        <v>ecommerce</v>
      </c>
      <c r="L326" s="2" t="str">
        <f aca="false">IFERROR(VLOOKUP($C326,merchants!$A$2:$D$41,4,FALSE()),"Merchant not found")</f>
        <v>North</v>
      </c>
      <c r="M326" s="2" t="n">
        <f aca="false">SUMIFS($F$2:$F$548,$C$2:$C$548,C326,$E$2:$E$548,E326)</f>
        <v>148</v>
      </c>
      <c r="N326" s="2" t="str">
        <f aca="false">IF(AND(M326&gt;5000,L326&lt;&gt;"East"),"High-Value Merchant Day","No")</f>
        <v>No</v>
      </c>
    </row>
    <row r="327" customFormat="false" ht="15" hidden="false" customHeight="false" outlineLevel="0" collapsed="false">
      <c r="A327" s="2" t="s">
        <v>405</v>
      </c>
      <c r="B327" s="2" t="n">
        <v>94</v>
      </c>
      <c r="C327" s="2" t="n">
        <v>9</v>
      </c>
      <c r="D327" s="9" t="n">
        <v>46040.8590277778</v>
      </c>
      <c r="E327" s="10" t="n">
        <f aca="false">INT(D327)</f>
        <v>46040</v>
      </c>
      <c r="F327" s="2" t="n">
        <v>299</v>
      </c>
      <c r="G327" s="2" t="s">
        <v>56</v>
      </c>
      <c r="H327" s="2" t="s">
        <v>78</v>
      </c>
      <c r="I327" s="2" t="n">
        <v>55</v>
      </c>
      <c r="J327" s="2" t="str">
        <f aca="false">IFERROR(VLOOKUP($C327,merchants!$A$2:$D$41,2,FALSE()),"Merchant not found")</f>
        <v>Merchant_009</v>
      </c>
      <c r="K327" s="2" t="str">
        <f aca="false">IFERROR(VLOOKUP($C327,merchants!$A$2:$D$41,3,FALSE()),"Merchant not found")</f>
        <v>ecommerce</v>
      </c>
      <c r="L327" s="2" t="str">
        <f aca="false">IFERROR(VLOOKUP($C327,merchants!$A$2:$D$41,4,FALSE()),"Merchant not found")</f>
        <v>North</v>
      </c>
      <c r="M327" s="2" t="n">
        <f aca="false">SUMIFS($F$2:$F$548,$C$2:$C$548,C327,$E$2:$E$548,E327)</f>
        <v>299</v>
      </c>
      <c r="N327" s="2" t="str">
        <f aca="false">IF(AND(M327&gt;5000,L327&lt;&gt;"East"),"High-Value Merchant Day","No")</f>
        <v>No</v>
      </c>
    </row>
    <row r="328" customFormat="false" ht="15" hidden="false" customHeight="false" outlineLevel="0" collapsed="false">
      <c r="A328" s="2" t="s">
        <v>406</v>
      </c>
      <c r="B328" s="2" t="n">
        <v>64</v>
      </c>
      <c r="C328" s="2" t="n">
        <v>34</v>
      </c>
      <c r="D328" s="9" t="n">
        <v>46039.0784722222</v>
      </c>
      <c r="E328" s="10" t="n">
        <f aca="false">INT(D328)</f>
        <v>46039</v>
      </c>
      <c r="F328" s="2" t="n">
        <v>299</v>
      </c>
      <c r="G328" s="2" t="s">
        <v>56</v>
      </c>
      <c r="H328" s="2" t="s">
        <v>78</v>
      </c>
      <c r="I328" s="2" t="n">
        <v>19</v>
      </c>
      <c r="J328" s="2" t="str">
        <f aca="false">IFERROR(VLOOKUP($C328,merchants!$A$2:$D$41,2,FALSE()),"Merchant not found")</f>
        <v>Merchant_034</v>
      </c>
      <c r="K328" s="2" t="str">
        <f aca="false">IFERROR(VLOOKUP($C328,merchants!$A$2:$D$41,3,FALSE()),"Merchant not found")</f>
        <v>travel</v>
      </c>
      <c r="L328" s="2" t="str">
        <f aca="false">IFERROR(VLOOKUP($C328,merchants!$A$2:$D$41,4,FALSE()),"Merchant not found")</f>
        <v>South</v>
      </c>
      <c r="M328" s="2" t="n">
        <f aca="false">SUMIFS($F$2:$F$548,$C$2:$C$548,C328,$E$2:$E$548,E328)</f>
        <v>299</v>
      </c>
      <c r="N328" s="2" t="str">
        <f aca="false">IF(AND(M328&gt;5000,L328&lt;&gt;"East"),"High-Value Merchant Day","No")</f>
        <v>No</v>
      </c>
    </row>
    <row r="329" customFormat="false" ht="15" hidden="false" customHeight="false" outlineLevel="0" collapsed="false">
      <c r="A329" s="2" t="s">
        <v>407</v>
      </c>
      <c r="B329" s="2" t="n">
        <v>166</v>
      </c>
      <c r="C329" s="2" t="n">
        <v>15</v>
      </c>
      <c r="D329" s="9" t="n">
        <v>46032.2152777778</v>
      </c>
      <c r="E329" s="10" t="n">
        <f aca="false">INT(D329)</f>
        <v>46032</v>
      </c>
      <c r="F329" s="2" t="n">
        <v>49</v>
      </c>
      <c r="G329" s="2" t="s">
        <v>56</v>
      </c>
      <c r="H329" s="2" t="s">
        <v>78</v>
      </c>
      <c r="I329" s="2" t="n">
        <v>44</v>
      </c>
      <c r="J329" s="2" t="str">
        <f aca="false">IFERROR(VLOOKUP($C329,merchants!$A$2:$D$41,2,FALSE()),"Merchant not found")</f>
        <v>Merchant_015</v>
      </c>
      <c r="K329" s="2" t="str">
        <f aca="false">IFERROR(VLOOKUP($C329,merchants!$A$2:$D$41,3,FALSE()),"Merchant not found")</f>
        <v>travel</v>
      </c>
      <c r="L329" s="2" t="str">
        <f aca="false">IFERROR(VLOOKUP($C329,merchants!$A$2:$D$41,4,FALSE()),"Merchant not found")</f>
        <v>North</v>
      </c>
      <c r="M329" s="2" t="n">
        <f aca="false">SUMIFS($F$2:$F$548,$C$2:$C$548,C329,$E$2:$E$548,E329)</f>
        <v>49</v>
      </c>
      <c r="N329" s="2" t="str">
        <f aca="false">IF(AND(M329&gt;5000,L329&lt;&gt;"East"),"High-Value Merchant Day","No")</f>
        <v>No</v>
      </c>
    </row>
    <row r="330" customFormat="false" ht="15" hidden="false" customHeight="false" outlineLevel="0" collapsed="false">
      <c r="A330" s="2" t="s">
        <v>408</v>
      </c>
      <c r="B330" s="2" t="n">
        <v>41</v>
      </c>
      <c r="C330" s="2" t="n">
        <v>17</v>
      </c>
      <c r="D330" s="9" t="n">
        <v>46039.4125</v>
      </c>
      <c r="E330" s="10" t="n">
        <f aca="false">INT(D330)</f>
        <v>46039</v>
      </c>
      <c r="F330" s="2" t="n">
        <v>299</v>
      </c>
      <c r="G330" s="2" t="s">
        <v>57</v>
      </c>
      <c r="H330" s="2" t="s">
        <v>78</v>
      </c>
      <c r="I330" s="2" t="n">
        <v>25</v>
      </c>
      <c r="J330" s="2" t="str">
        <f aca="false">IFERROR(VLOOKUP($C330,merchants!$A$2:$D$41,2,FALSE()),"Merchant not found")</f>
        <v>Merchant_017</v>
      </c>
      <c r="K330" s="2" t="str">
        <f aca="false">IFERROR(VLOOKUP($C330,merchants!$A$2:$D$41,3,FALSE()),"Merchant not found")</f>
        <v>grocery</v>
      </c>
      <c r="L330" s="2" t="str">
        <f aca="false">IFERROR(VLOOKUP($C330,merchants!$A$2:$D$41,4,FALSE()),"Merchant not found")</f>
        <v>North</v>
      </c>
      <c r="M330" s="2" t="n">
        <f aca="false">SUMIFS($F$2:$F$548,$C$2:$C$548,C330,$E$2:$E$548,E330)</f>
        <v>299</v>
      </c>
      <c r="N330" s="2" t="str">
        <f aca="false">IF(AND(M330&gt;5000,L330&lt;&gt;"East"),"High-Value Merchant Day","No")</f>
        <v>No</v>
      </c>
    </row>
    <row r="331" customFormat="false" ht="15" hidden="false" customHeight="false" outlineLevel="0" collapsed="false">
      <c r="A331" s="2" t="s">
        <v>409</v>
      </c>
      <c r="B331" s="2" t="n">
        <v>65</v>
      </c>
      <c r="C331" s="2" t="n">
        <v>20</v>
      </c>
      <c r="D331" s="9" t="n">
        <v>46043.7201388889</v>
      </c>
      <c r="E331" s="10" t="n">
        <f aca="false">INT(D331)</f>
        <v>46043</v>
      </c>
      <c r="F331" s="2" t="n">
        <v>99</v>
      </c>
      <c r="G331" s="2" t="s">
        <v>58</v>
      </c>
      <c r="H331" s="2" t="s">
        <v>78</v>
      </c>
      <c r="I331" s="2" t="n">
        <v>78</v>
      </c>
      <c r="J331" s="2" t="str">
        <f aca="false">IFERROR(VLOOKUP($C331,merchants!$A$2:$D$41,2,FALSE()),"Merchant not found")</f>
        <v>Merchant_020</v>
      </c>
      <c r="K331" s="2" t="str">
        <f aca="false">IFERROR(VLOOKUP($C331,merchants!$A$2:$D$41,3,FALSE()),"Merchant not found")</f>
        <v>food_delivery</v>
      </c>
      <c r="L331" s="2" t="str">
        <f aca="false">IFERROR(VLOOKUP($C331,merchants!$A$2:$D$41,4,FALSE()),"Merchant not found")</f>
        <v>East</v>
      </c>
      <c r="M331" s="2" t="n">
        <f aca="false">SUMIFS($F$2:$F$548,$C$2:$C$548,C331,$E$2:$E$548,E331)</f>
        <v>99</v>
      </c>
      <c r="N331" s="2" t="str">
        <f aca="false">IF(AND(M331&gt;5000,L331&lt;&gt;"East"),"High-Value Merchant Day","No")</f>
        <v>No</v>
      </c>
    </row>
    <row r="332" customFormat="false" ht="15" hidden="false" customHeight="false" outlineLevel="0" collapsed="false">
      <c r="A332" s="2" t="s">
        <v>410</v>
      </c>
      <c r="B332" s="2" t="n">
        <v>329</v>
      </c>
      <c r="C332" s="2" t="n">
        <v>11</v>
      </c>
      <c r="D332" s="9" t="n">
        <v>46040.1055555556</v>
      </c>
      <c r="E332" s="10" t="n">
        <f aca="false">INT(D332)</f>
        <v>46040</v>
      </c>
      <c r="F332" s="2" t="n">
        <v>499</v>
      </c>
      <c r="G332" s="2" t="s">
        <v>56</v>
      </c>
      <c r="H332" s="2" t="s">
        <v>78</v>
      </c>
      <c r="I332" s="2" t="n">
        <v>75</v>
      </c>
      <c r="J332" s="2" t="str">
        <f aca="false">IFERROR(VLOOKUP($C332,merchants!$A$2:$D$41,2,FALSE()),"Merchant not found")</f>
        <v>Merchant_011</v>
      </c>
      <c r="K332" s="2" t="str">
        <f aca="false">IFERROR(VLOOKUP($C332,merchants!$A$2:$D$41,3,FALSE()),"Merchant not found")</f>
        <v>ecommerce</v>
      </c>
      <c r="L332" s="2" t="str">
        <f aca="false">IFERROR(VLOOKUP($C332,merchants!$A$2:$D$41,4,FALSE()),"Merchant not found")</f>
        <v>North</v>
      </c>
      <c r="M332" s="2" t="n">
        <f aca="false">SUMIFS($F$2:$F$548,$C$2:$C$548,C332,$E$2:$E$548,E332)</f>
        <v>499</v>
      </c>
      <c r="N332" s="2" t="str">
        <f aca="false">IF(AND(M332&gt;5000,L332&lt;&gt;"East"),"High-Value Merchant Day","No")</f>
        <v>No</v>
      </c>
    </row>
    <row r="333" customFormat="false" ht="15" hidden="false" customHeight="false" outlineLevel="0" collapsed="false">
      <c r="A333" s="2" t="s">
        <v>411</v>
      </c>
      <c r="B333" s="2" t="n">
        <v>338</v>
      </c>
      <c r="C333" s="2" t="n">
        <v>40</v>
      </c>
      <c r="D333" s="9" t="n">
        <v>46041.1736111111</v>
      </c>
      <c r="E333" s="10" t="n">
        <f aca="false">INT(D333)</f>
        <v>46041</v>
      </c>
      <c r="F333" s="2" t="n">
        <v>149</v>
      </c>
      <c r="G333" s="2" t="s">
        <v>56</v>
      </c>
      <c r="H333" s="2" t="s">
        <v>78</v>
      </c>
      <c r="I333" s="2" t="n">
        <v>92</v>
      </c>
      <c r="J333" s="2" t="str">
        <f aca="false">IFERROR(VLOOKUP($C333,merchants!$A$2:$D$41,2,FALSE()),"Merchant not found")</f>
        <v>Merchant_040</v>
      </c>
      <c r="K333" s="2" t="str">
        <f aca="false">IFERROR(VLOOKUP($C333,merchants!$A$2:$D$41,3,FALSE()),"Merchant not found")</f>
        <v>entertainment</v>
      </c>
      <c r="L333" s="2" t="str">
        <f aca="false">IFERROR(VLOOKUP($C333,merchants!$A$2:$D$41,4,FALSE()),"Merchant not found")</f>
        <v>South</v>
      </c>
      <c r="M333" s="2" t="n">
        <f aca="false">SUMIFS($F$2:$F$548,$C$2:$C$548,C333,$E$2:$E$548,E333)</f>
        <v>648</v>
      </c>
      <c r="N333" s="2" t="str">
        <f aca="false">IF(AND(M333&gt;5000,L333&lt;&gt;"East"),"High-Value Merchant Day","No")</f>
        <v>No</v>
      </c>
    </row>
    <row r="334" customFormat="false" ht="15" hidden="false" customHeight="false" outlineLevel="0" collapsed="false">
      <c r="A334" s="2" t="s">
        <v>412</v>
      </c>
      <c r="B334" s="2" t="n">
        <v>289</v>
      </c>
      <c r="C334" s="2" t="n">
        <v>3</v>
      </c>
      <c r="D334" s="9" t="n">
        <v>46051.80625</v>
      </c>
      <c r="E334" s="10" t="n">
        <f aca="false">INT(D334)</f>
        <v>46051</v>
      </c>
      <c r="F334" s="2" t="n">
        <v>49</v>
      </c>
      <c r="G334" s="2" t="s">
        <v>59</v>
      </c>
      <c r="H334" s="2" t="s">
        <v>78</v>
      </c>
      <c r="I334" s="2" t="n">
        <v>3</v>
      </c>
      <c r="J334" s="2" t="str">
        <f aca="false">IFERROR(VLOOKUP($C334,merchants!$A$2:$D$41,2,FALSE()),"Merchant not found")</f>
        <v>Merchant_003</v>
      </c>
      <c r="K334" s="2" t="str">
        <f aca="false">IFERROR(VLOOKUP($C334,merchants!$A$2:$D$41,3,FALSE()),"Merchant not found")</f>
        <v>grocery</v>
      </c>
      <c r="L334" s="2" t="str">
        <f aca="false">IFERROR(VLOOKUP($C334,merchants!$A$2:$D$41,4,FALSE()),"Merchant not found")</f>
        <v>East</v>
      </c>
      <c r="M334" s="2" t="n">
        <f aca="false">SUMIFS($F$2:$F$548,$C$2:$C$548,C334,$E$2:$E$548,E334)</f>
        <v>49</v>
      </c>
      <c r="N334" s="2" t="str">
        <f aca="false">IF(AND(M334&gt;5000,L334&lt;&gt;"East"),"High-Value Merchant Day","No")</f>
        <v>No</v>
      </c>
    </row>
    <row r="335" customFormat="false" ht="15" hidden="false" customHeight="false" outlineLevel="0" collapsed="false">
      <c r="A335" s="2" t="s">
        <v>413</v>
      </c>
      <c r="B335" s="2" t="n">
        <v>296</v>
      </c>
      <c r="C335" s="2" t="n">
        <v>17</v>
      </c>
      <c r="D335" s="9" t="n">
        <v>46025.0701388889</v>
      </c>
      <c r="E335" s="10" t="n">
        <f aca="false">INT(D335)</f>
        <v>46025</v>
      </c>
      <c r="F335" s="2" t="n">
        <v>99</v>
      </c>
      <c r="G335" s="2" t="s">
        <v>56</v>
      </c>
      <c r="H335" s="2" t="s">
        <v>78</v>
      </c>
      <c r="I335" s="2" t="n">
        <v>83</v>
      </c>
      <c r="J335" s="2" t="str">
        <f aca="false">IFERROR(VLOOKUP($C335,merchants!$A$2:$D$41,2,FALSE()),"Merchant not found")</f>
        <v>Merchant_017</v>
      </c>
      <c r="K335" s="2" t="str">
        <f aca="false">IFERROR(VLOOKUP($C335,merchants!$A$2:$D$41,3,FALSE()),"Merchant not found")</f>
        <v>grocery</v>
      </c>
      <c r="L335" s="2" t="str">
        <f aca="false">IFERROR(VLOOKUP($C335,merchants!$A$2:$D$41,4,FALSE()),"Merchant not found")</f>
        <v>North</v>
      </c>
      <c r="M335" s="2" t="n">
        <f aca="false">SUMIFS($F$2:$F$548,$C$2:$C$548,C335,$E$2:$E$548,E335)</f>
        <v>398</v>
      </c>
      <c r="N335" s="2" t="str">
        <f aca="false">IF(AND(M335&gt;5000,L335&lt;&gt;"East"),"High-Value Merchant Day","No")</f>
        <v>No</v>
      </c>
    </row>
    <row r="336" customFormat="false" ht="15" hidden="false" customHeight="false" outlineLevel="0" collapsed="false">
      <c r="A336" s="2" t="s">
        <v>414</v>
      </c>
      <c r="B336" s="2" t="n">
        <v>317</v>
      </c>
      <c r="C336" s="2" t="n">
        <v>2</v>
      </c>
      <c r="D336" s="9" t="n">
        <v>46029.7680555556</v>
      </c>
      <c r="E336" s="10" t="n">
        <f aca="false">INT(D336)</f>
        <v>46029</v>
      </c>
      <c r="F336" s="2" t="n">
        <v>499</v>
      </c>
      <c r="G336" s="2" t="s">
        <v>58</v>
      </c>
      <c r="H336" s="2" t="s">
        <v>78</v>
      </c>
      <c r="I336" s="2" t="n">
        <v>63</v>
      </c>
      <c r="J336" s="2" t="str">
        <f aca="false">IFERROR(VLOOKUP($C336,merchants!$A$2:$D$41,2,FALSE()),"Merchant not found")</f>
        <v>Merchant_002</v>
      </c>
      <c r="K336" s="2" t="str">
        <f aca="false">IFERROR(VLOOKUP($C336,merchants!$A$2:$D$41,3,FALSE()),"Merchant not found")</f>
        <v>grocery</v>
      </c>
      <c r="L336" s="2" t="str">
        <f aca="false">IFERROR(VLOOKUP($C336,merchants!$A$2:$D$41,4,FALSE()),"Merchant not found")</f>
        <v>West</v>
      </c>
      <c r="M336" s="2" t="n">
        <f aca="false">SUMIFS($F$2:$F$548,$C$2:$C$548,C336,$E$2:$E$548,E336)</f>
        <v>499</v>
      </c>
      <c r="N336" s="2" t="str">
        <f aca="false">IF(AND(M336&gt;5000,L336&lt;&gt;"East"),"High-Value Merchant Day","No")</f>
        <v>No</v>
      </c>
    </row>
    <row r="337" customFormat="false" ht="15" hidden="false" customHeight="false" outlineLevel="0" collapsed="false">
      <c r="A337" s="2" t="s">
        <v>415</v>
      </c>
      <c r="B337" s="2" t="n">
        <v>149</v>
      </c>
      <c r="C337" s="2" t="n">
        <v>20</v>
      </c>
      <c r="D337" s="9" t="n">
        <v>46051.8569444444</v>
      </c>
      <c r="E337" s="10" t="n">
        <f aca="false">INT(D337)</f>
        <v>46051</v>
      </c>
      <c r="F337" s="2" t="n">
        <v>499</v>
      </c>
      <c r="G337" s="2" t="s">
        <v>58</v>
      </c>
      <c r="H337" s="2" t="s">
        <v>78</v>
      </c>
      <c r="I337" s="2" t="n">
        <v>61</v>
      </c>
      <c r="J337" s="2" t="str">
        <f aca="false">IFERROR(VLOOKUP($C337,merchants!$A$2:$D$41,2,FALSE()),"Merchant not found")</f>
        <v>Merchant_020</v>
      </c>
      <c r="K337" s="2" t="str">
        <f aca="false">IFERROR(VLOOKUP($C337,merchants!$A$2:$D$41,3,FALSE()),"Merchant not found")</f>
        <v>food_delivery</v>
      </c>
      <c r="L337" s="2" t="str">
        <f aca="false">IFERROR(VLOOKUP($C337,merchants!$A$2:$D$41,4,FALSE()),"Merchant not found")</f>
        <v>East</v>
      </c>
      <c r="M337" s="2" t="n">
        <f aca="false">SUMIFS($F$2:$F$548,$C$2:$C$548,C337,$E$2:$E$548,E337)</f>
        <v>499</v>
      </c>
      <c r="N337" s="2" t="str">
        <f aca="false">IF(AND(M337&gt;5000,L337&lt;&gt;"East"),"High-Value Merchant Day","No")</f>
        <v>No</v>
      </c>
    </row>
    <row r="338" customFormat="false" ht="15" hidden="false" customHeight="false" outlineLevel="0" collapsed="false">
      <c r="A338" s="2" t="s">
        <v>416</v>
      </c>
      <c r="B338" s="2" t="n">
        <v>153</v>
      </c>
      <c r="C338" s="2" t="n">
        <v>30</v>
      </c>
      <c r="D338" s="9" t="n">
        <v>46030.8923611111</v>
      </c>
      <c r="E338" s="10" t="n">
        <f aca="false">INT(D338)</f>
        <v>46030</v>
      </c>
      <c r="F338" s="2" t="n">
        <v>299</v>
      </c>
      <c r="G338" s="2" t="s">
        <v>56</v>
      </c>
      <c r="H338" s="2" t="s">
        <v>78</v>
      </c>
      <c r="I338" s="2" t="n">
        <v>9</v>
      </c>
      <c r="J338" s="2" t="str">
        <f aca="false">IFERROR(VLOOKUP($C338,merchants!$A$2:$D$41,2,FALSE()),"Merchant not found")</f>
        <v>Merchant_030</v>
      </c>
      <c r="K338" s="2" t="str">
        <f aca="false">IFERROR(VLOOKUP($C338,merchants!$A$2:$D$41,3,FALSE()),"Merchant not found")</f>
        <v>travel</v>
      </c>
      <c r="L338" s="2" t="str">
        <f aca="false">IFERROR(VLOOKUP($C338,merchants!$A$2:$D$41,4,FALSE()),"Merchant not found")</f>
        <v>West</v>
      </c>
      <c r="M338" s="2" t="n">
        <f aca="false">SUMIFS($F$2:$F$548,$C$2:$C$548,C338,$E$2:$E$548,E338)</f>
        <v>1197</v>
      </c>
      <c r="N338" s="2" t="str">
        <f aca="false">IF(AND(M338&gt;5000,L338&lt;&gt;"East"),"High-Value Merchant Day","No")</f>
        <v>No</v>
      </c>
    </row>
    <row r="339" customFormat="false" ht="15" hidden="false" customHeight="false" outlineLevel="0" collapsed="false">
      <c r="A339" s="2" t="s">
        <v>417</v>
      </c>
      <c r="B339" s="2" t="n">
        <v>226</v>
      </c>
      <c r="C339" s="2" t="n">
        <v>27</v>
      </c>
      <c r="D339" s="9" t="n">
        <v>46045.0486111111</v>
      </c>
      <c r="E339" s="10" t="n">
        <f aca="false">INT(D339)</f>
        <v>46045</v>
      </c>
      <c r="F339" s="2" t="n">
        <v>2999</v>
      </c>
      <c r="G339" s="2" t="s">
        <v>56</v>
      </c>
      <c r="H339" s="2" t="s">
        <v>103</v>
      </c>
      <c r="I339" s="2" t="n">
        <v>61</v>
      </c>
      <c r="J339" s="2" t="str">
        <f aca="false">IFERROR(VLOOKUP($C339,merchants!$A$2:$D$41,2,FALSE()),"Merchant not found")</f>
        <v>Merchant_027</v>
      </c>
      <c r="K339" s="2" t="str">
        <f aca="false">IFERROR(VLOOKUP($C339,merchants!$A$2:$D$41,3,FALSE()),"Merchant not found")</f>
        <v>ecommerce</v>
      </c>
      <c r="L339" s="2" t="str">
        <f aca="false">IFERROR(VLOOKUP($C339,merchants!$A$2:$D$41,4,FALSE()),"Merchant not found")</f>
        <v>North</v>
      </c>
      <c r="M339" s="2" t="n">
        <f aca="false">SUMIFS($F$2:$F$548,$C$2:$C$548,C339,$E$2:$E$548,E339)</f>
        <v>3998</v>
      </c>
      <c r="N339" s="2" t="str">
        <f aca="false">IF(AND(M339&gt;5000,L339&lt;&gt;"East"),"High-Value Merchant Day","No")</f>
        <v>No</v>
      </c>
    </row>
    <row r="340" customFormat="false" ht="15" hidden="false" customHeight="false" outlineLevel="0" collapsed="false">
      <c r="A340" s="2" t="s">
        <v>418</v>
      </c>
      <c r="B340" s="2" t="n">
        <v>311</v>
      </c>
      <c r="C340" s="2" t="n">
        <v>10</v>
      </c>
      <c r="D340" s="9" t="n">
        <v>46037.2645833333</v>
      </c>
      <c r="E340" s="10" t="n">
        <f aca="false">INT(D340)</f>
        <v>46037</v>
      </c>
      <c r="F340" s="2" t="n">
        <v>2999</v>
      </c>
      <c r="G340" s="2" t="s">
        <v>56</v>
      </c>
      <c r="H340" s="2" t="s">
        <v>78</v>
      </c>
      <c r="I340" s="2" t="n">
        <v>40</v>
      </c>
      <c r="J340" s="2" t="str">
        <f aca="false">IFERROR(VLOOKUP($C340,merchants!$A$2:$D$41,2,FALSE()),"Merchant not found")</f>
        <v>Merchant_010</v>
      </c>
      <c r="K340" s="2" t="str">
        <f aca="false">IFERROR(VLOOKUP($C340,merchants!$A$2:$D$41,3,FALSE()),"Merchant not found")</f>
        <v>grocery</v>
      </c>
      <c r="L340" s="2" t="str">
        <f aca="false">IFERROR(VLOOKUP($C340,merchants!$A$2:$D$41,4,FALSE()),"Merchant not found")</f>
        <v>West</v>
      </c>
      <c r="M340" s="2" t="n">
        <f aca="false">SUMIFS($F$2:$F$548,$C$2:$C$548,C340,$E$2:$E$548,E340)</f>
        <v>2999</v>
      </c>
      <c r="N340" s="2" t="str">
        <f aca="false">IF(AND(M340&gt;5000,L340&lt;&gt;"East"),"High-Value Merchant Day","No")</f>
        <v>No</v>
      </c>
    </row>
    <row r="341" customFormat="false" ht="15" hidden="false" customHeight="false" outlineLevel="0" collapsed="false">
      <c r="A341" s="2" t="s">
        <v>419</v>
      </c>
      <c r="B341" s="2" t="n">
        <v>177</v>
      </c>
      <c r="C341" s="2" t="n">
        <v>26</v>
      </c>
      <c r="D341" s="9" t="n">
        <v>46050.9305555556</v>
      </c>
      <c r="E341" s="10" t="n">
        <f aca="false">INT(D341)</f>
        <v>46050</v>
      </c>
      <c r="F341" s="2" t="n">
        <v>1499</v>
      </c>
      <c r="G341" s="2" t="s">
        <v>56</v>
      </c>
      <c r="H341" s="2" t="s">
        <v>78</v>
      </c>
      <c r="I341" s="2" t="n">
        <v>16</v>
      </c>
      <c r="J341" s="2" t="str">
        <f aca="false">IFERROR(VLOOKUP($C341,merchants!$A$2:$D$41,2,FALSE()),"Merchant not found")</f>
        <v>Merchant_026</v>
      </c>
      <c r="K341" s="2" t="str">
        <f aca="false">IFERROR(VLOOKUP($C341,merchants!$A$2:$D$41,3,FALSE()),"Merchant not found")</f>
        <v>food_delivery</v>
      </c>
      <c r="L341" s="2" t="str">
        <f aca="false">IFERROR(VLOOKUP($C341,merchants!$A$2:$D$41,4,FALSE()),"Merchant not found")</f>
        <v>East</v>
      </c>
      <c r="M341" s="2" t="n">
        <f aca="false">SUMIFS($F$2:$F$548,$C$2:$C$548,C341,$E$2:$E$548,E341)</f>
        <v>1499</v>
      </c>
      <c r="N341" s="2" t="str">
        <f aca="false">IF(AND(M341&gt;5000,L341&lt;&gt;"East"),"High-Value Merchant Day","No")</f>
        <v>No</v>
      </c>
    </row>
    <row r="342" customFormat="false" ht="15" hidden="false" customHeight="false" outlineLevel="0" collapsed="false">
      <c r="A342" s="2" t="s">
        <v>420</v>
      </c>
      <c r="B342" s="2" t="n">
        <v>288</v>
      </c>
      <c r="C342" s="2" t="n">
        <v>7</v>
      </c>
      <c r="D342" s="9" t="n">
        <v>46047.4805555556</v>
      </c>
      <c r="E342" s="10" t="n">
        <f aca="false">INT(D342)</f>
        <v>46047</v>
      </c>
      <c r="F342" s="2" t="n">
        <v>99</v>
      </c>
      <c r="G342" s="2" t="s">
        <v>59</v>
      </c>
      <c r="H342" s="2" t="s">
        <v>78</v>
      </c>
      <c r="I342" s="2" t="n">
        <v>40</v>
      </c>
      <c r="J342" s="2" t="str">
        <f aca="false">IFERROR(VLOOKUP($C342,merchants!$A$2:$D$41,2,FALSE()),"Merchant not found")</f>
        <v>Merchant_007</v>
      </c>
      <c r="K342" s="2" t="str">
        <f aca="false">IFERROR(VLOOKUP($C342,merchants!$A$2:$D$41,3,FALSE()),"Merchant not found")</f>
        <v>food_delivery</v>
      </c>
      <c r="L342" s="2" t="str">
        <f aca="false">IFERROR(VLOOKUP($C342,merchants!$A$2:$D$41,4,FALSE()),"Merchant not found")</f>
        <v>East</v>
      </c>
      <c r="M342" s="2" t="n">
        <f aca="false">SUMIFS($F$2:$F$548,$C$2:$C$548,C342,$E$2:$E$548,E342)</f>
        <v>99</v>
      </c>
      <c r="N342" s="2" t="str">
        <f aca="false">IF(AND(M342&gt;5000,L342&lt;&gt;"East"),"High-Value Merchant Day","No")</f>
        <v>No</v>
      </c>
    </row>
    <row r="343" customFormat="false" ht="15" hidden="false" customHeight="false" outlineLevel="0" collapsed="false">
      <c r="A343" s="2" t="s">
        <v>421</v>
      </c>
      <c r="B343" s="2" t="n">
        <v>137</v>
      </c>
      <c r="C343" s="2" t="n">
        <v>29</v>
      </c>
      <c r="D343" s="9" t="n">
        <v>46030.5881944444</v>
      </c>
      <c r="E343" s="10" t="n">
        <f aca="false">INT(D343)</f>
        <v>46030</v>
      </c>
      <c r="F343" s="2" t="n">
        <v>2999</v>
      </c>
      <c r="G343" s="2" t="s">
        <v>56</v>
      </c>
      <c r="H343" s="2" t="s">
        <v>90</v>
      </c>
      <c r="I343" s="2" t="n">
        <v>31</v>
      </c>
      <c r="J343" s="2" t="str">
        <f aca="false">IFERROR(VLOOKUP($C343,merchants!$A$2:$D$41,2,FALSE()),"Merchant not found")</f>
        <v>Merchant_029</v>
      </c>
      <c r="K343" s="2" t="str">
        <f aca="false">IFERROR(VLOOKUP($C343,merchants!$A$2:$D$41,3,FALSE()),"Merchant not found")</f>
        <v>ecommerce</v>
      </c>
      <c r="L343" s="2" t="str">
        <f aca="false">IFERROR(VLOOKUP($C343,merchants!$A$2:$D$41,4,FALSE()),"Merchant not found")</f>
        <v>North</v>
      </c>
      <c r="M343" s="2" t="n">
        <f aca="false">SUMIFS($F$2:$F$548,$C$2:$C$548,C343,$E$2:$E$548,E343)</f>
        <v>2999</v>
      </c>
      <c r="N343" s="2" t="str">
        <f aca="false">IF(AND(M343&gt;5000,L343&lt;&gt;"East"),"High-Value Merchant Day","No")</f>
        <v>No</v>
      </c>
    </row>
    <row r="344" customFormat="false" ht="15" hidden="false" customHeight="false" outlineLevel="0" collapsed="false">
      <c r="A344" s="2" t="s">
        <v>422</v>
      </c>
      <c r="B344" s="2" t="n">
        <v>149</v>
      </c>
      <c r="C344" s="2" t="n">
        <v>25</v>
      </c>
      <c r="D344" s="9" t="n">
        <v>46027.1270833333</v>
      </c>
      <c r="E344" s="10" t="n">
        <f aca="false">INT(D344)</f>
        <v>46027</v>
      </c>
      <c r="F344" s="2" t="n">
        <v>1499</v>
      </c>
      <c r="G344" s="2" t="s">
        <v>56</v>
      </c>
      <c r="H344" s="2" t="s">
        <v>78</v>
      </c>
      <c r="I344" s="2" t="n">
        <v>78</v>
      </c>
      <c r="J344" s="2" t="str">
        <f aca="false">IFERROR(VLOOKUP($C344,merchants!$A$2:$D$41,2,FALSE()),"Merchant not found")</f>
        <v>Merchant_025</v>
      </c>
      <c r="K344" s="2" t="str">
        <f aca="false">IFERROR(VLOOKUP($C344,merchants!$A$2:$D$41,3,FALSE()),"Merchant not found")</f>
        <v>travel</v>
      </c>
      <c r="L344" s="2" t="str">
        <f aca="false">IFERROR(VLOOKUP($C344,merchants!$A$2:$D$41,4,FALSE()),"Merchant not found")</f>
        <v>South</v>
      </c>
      <c r="M344" s="2" t="n">
        <f aca="false">SUMIFS($F$2:$F$548,$C$2:$C$548,C344,$E$2:$E$548,E344)</f>
        <v>4498</v>
      </c>
      <c r="N344" s="2" t="str">
        <f aca="false">IF(AND(M344&gt;5000,L344&lt;&gt;"East"),"High-Value Merchant Day","No")</f>
        <v>No</v>
      </c>
    </row>
    <row r="345" customFormat="false" ht="15" hidden="false" customHeight="false" outlineLevel="0" collapsed="false">
      <c r="A345" s="2" t="s">
        <v>423</v>
      </c>
      <c r="B345" s="2" t="n">
        <v>82</v>
      </c>
      <c r="C345" s="2" t="n">
        <v>21</v>
      </c>
      <c r="D345" s="9" t="n">
        <v>46036.3298611111</v>
      </c>
      <c r="E345" s="10" t="n">
        <f aca="false">INT(D345)</f>
        <v>46036</v>
      </c>
      <c r="F345" s="2" t="n">
        <v>49</v>
      </c>
      <c r="G345" s="2" t="s">
        <v>57</v>
      </c>
      <c r="H345" s="2" t="s">
        <v>78</v>
      </c>
      <c r="I345" s="2" t="n">
        <v>73</v>
      </c>
      <c r="J345" s="2" t="str">
        <f aca="false">IFERROR(VLOOKUP($C345,merchants!$A$2:$D$41,2,FALSE()),"Merchant not found")</f>
        <v>Merchant_021</v>
      </c>
      <c r="K345" s="2" t="str">
        <f aca="false">IFERROR(VLOOKUP($C345,merchants!$A$2:$D$41,3,FALSE()),"Merchant not found")</f>
        <v>food_delivery</v>
      </c>
      <c r="L345" s="2" t="str">
        <f aca="false">IFERROR(VLOOKUP($C345,merchants!$A$2:$D$41,4,FALSE()),"Merchant not found")</f>
        <v>East</v>
      </c>
      <c r="M345" s="2" t="n">
        <f aca="false">SUMIFS($F$2:$F$548,$C$2:$C$548,C345,$E$2:$E$548,E345)</f>
        <v>49</v>
      </c>
      <c r="N345" s="2" t="str">
        <f aca="false">IF(AND(M345&gt;5000,L345&lt;&gt;"East"),"High-Value Merchant Day","No")</f>
        <v>No</v>
      </c>
    </row>
    <row r="346" customFormat="false" ht="15" hidden="false" customHeight="false" outlineLevel="0" collapsed="false">
      <c r="A346" s="2" t="s">
        <v>424</v>
      </c>
      <c r="B346" s="2" t="n">
        <v>82</v>
      </c>
      <c r="C346" s="2" t="n">
        <v>32</v>
      </c>
      <c r="D346" s="9" t="n">
        <v>46046.425</v>
      </c>
      <c r="E346" s="10" t="n">
        <f aca="false">INT(D346)</f>
        <v>46046</v>
      </c>
      <c r="F346" s="2" t="n">
        <v>49</v>
      </c>
      <c r="G346" s="2" t="s">
        <v>56</v>
      </c>
      <c r="H346" s="2" t="s">
        <v>78</v>
      </c>
      <c r="I346" s="2" t="n">
        <v>65</v>
      </c>
      <c r="J346" s="2" t="str">
        <f aca="false">IFERROR(VLOOKUP($C346,merchants!$A$2:$D$41,2,FALSE()),"Merchant not found")</f>
        <v>Merchant_032</v>
      </c>
      <c r="K346" s="2" t="str">
        <f aca="false">IFERROR(VLOOKUP($C346,merchants!$A$2:$D$41,3,FALSE()),"Merchant not found")</f>
        <v>food_delivery</v>
      </c>
      <c r="L346" s="2" t="str">
        <f aca="false">IFERROR(VLOOKUP($C346,merchants!$A$2:$D$41,4,FALSE()),"Merchant not found")</f>
        <v>West</v>
      </c>
      <c r="M346" s="2" t="n">
        <f aca="false">SUMIFS($F$2:$F$548,$C$2:$C$548,C346,$E$2:$E$548,E346)</f>
        <v>49</v>
      </c>
      <c r="N346" s="2" t="str">
        <f aca="false">IF(AND(M346&gt;5000,L346&lt;&gt;"East"),"High-Value Merchant Day","No")</f>
        <v>No</v>
      </c>
    </row>
    <row r="347" customFormat="false" ht="15" hidden="false" customHeight="false" outlineLevel="0" collapsed="false">
      <c r="A347" s="2" t="s">
        <v>425</v>
      </c>
      <c r="B347" s="2" t="n">
        <v>158</v>
      </c>
      <c r="C347" s="2" t="n">
        <v>32</v>
      </c>
      <c r="D347" s="9" t="n">
        <v>46037.6638888889</v>
      </c>
      <c r="E347" s="10" t="n">
        <f aca="false">INT(D347)</f>
        <v>46037</v>
      </c>
      <c r="F347" s="2" t="n">
        <v>99</v>
      </c>
      <c r="G347" s="2" t="s">
        <v>57</v>
      </c>
      <c r="H347" s="2" t="s">
        <v>78</v>
      </c>
      <c r="I347" s="2" t="n">
        <v>2</v>
      </c>
      <c r="J347" s="2" t="str">
        <f aca="false">IFERROR(VLOOKUP($C347,merchants!$A$2:$D$41,2,FALSE()),"Merchant not found")</f>
        <v>Merchant_032</v>
      </c>
      <c r="K347" s="2" t="str">
        <f aca="false">IFERROR(VLOOKUP($C347,merchants!$A$2:$D$41,3,FALSE()),"Merchant not found")</f>
        <v>food_delivery</v>
      </c>
      <c r="L347" s="2" t="str">
        <f aca="false">IFERROR(VLOOKUP($C347,merchants!$A$2:$D$41,4,FALSE()),"Merchant not found")</f>
        <v>West</v>
      </c>
      <c r="M347" s="2" t="n">
        <f aca="false">SUMIFS($F$2:$F$548,$C$2:$C$548,C347,$E$2:$E$548,E347)</f>
        <v>148</v>
      </c>
      <c r="N347" s="2" t="str">
        <f aca="false">IF(AND(M347&gt;5000,L347&lt;&gt;"East"),"High-Value Merchant Day","No")</f>
        <v>No</v>
      </c>
    </row>
    <row r="348" customFormat="false" ht="15" hidden="false" customHeight="false" outlineLevel="0" collapsed="false">
      <c r="A348" s="2" t="s">
        <v>426</v>
      </c>
      <c r="B348" s="2" t="n">
        <v>235</v>
      </c>
      <c r="C348" s="2" t="n">
        <v>16</v>
      </c>
      <c r="D348" s="9" t="n">
        <v>46025.5222222222</v>
      </c>
      <c r="E348" s="10" t="n">
        <f aca="false">INT(D348)</f>
        <v>46025</v>
      </c>
      <c r="F348" s="2" t="n">
        <v>99</v>
      </c>
      <c r="G348" s="2" t="s">
        <v>56</v>
      </c>
      <c r="H348" s="2" t="s">
        <v>78</v>
      </c>
      <c r="I348" s="2" t="n">
        <v>27</v>
      </c>
      <c r="J348" s="2" t="str">
        <f aca="false">IFERROR(VLOOKUP($C348,merchants!$A$2:$D$41,2,FALSE()),"Merchant not found")</f>
        <v>Merchant_016</v>
      </c>
      <c r="K348" s="2" t="str">
        <f aca="false">IFERROR(VLOOKUP($C348,merchants!$A$2:$D$41,3,FALSE()),"Merchant not found")</f>
        <v>bill_payment</v>
      </c>
      <c r="L348" s="2" t="str">
        <f aca="false">IFERROR(VLOOKUP($C348,merchants!$A$2:$D$41,4,FALSE()),"Merchant not found")</f>
        <v>West</v>
      </c>
      <c r="M348" s="2" t="n">
        <f aca="false">SUMIFS($F$2:$F$548,$C$2:$C$548,C348,$E$2:$E$548,E348)</f>
        <v>99</v>
      </c>
      <c r="N348" s="2" t="str">
        <f aca="false">IF(AND(M348&gt;5000,L348&lt;&gt;"East"),"High-Value Merchant Day","No")</f>
        <v>No</v>
      </c>
    </row>
    <row r="349" customFormat="false" ht="15" hidden="false" customHeight="false" outlineLevel="0" collapsed="false">
      <c r="A349" s="2" t="s">
        <v>427</v>
      </c>
      <c r="B349" s="2" t="n">
        <v>26</v>
      </c>
      <c r="C349" s="2" t="n">
        <v>19</v>
      </c>
      <c r="D349" s="9" t="n">
        <v>46041.4604166667</v>
      </c>
      <c r="E349" s="10" t="n">
        <f aca="false">INT(D349)</f>
        <v>46041</v>
      </c>
      <c r="F349" s="2" t="n">
        <v>99</v>
      </c>
      <c r="G349" s="2" t="s">
        <v>57</v>
      </c>
      <c r="H349" s="2" t="s">
        <v>78</v>
      </c>
      <c r="I349" s="2" t="n">
        <v>63</v>
      </c>
      <c r="J349" s="2" t="str">
        <f aca="false">IFERROR(VLOOKUP($C349,merchants!$A$2:$D$41,2,FALSE()),"Merchant not found")</f>
        <v>Merchant_019</v>
      </c>
      <c r="K349" s="2" t="str">
        <f aca="false">IFERROR(VLOOKUP($C349,merchants!$A$2:$D$41,3,FALSE()),"Merchant not found")</f>
        <v>grocery</v>
      </c>
      <c r="L349" s="2" t="str">
        <f aca="false">IFERROR(VLOOKUP($C349,merchants!$A$2:$D$41,4,FALSE()),"Merchant not found")</f>
        <v>North</v>
      </c>
      <c r="M349" s="2" t="n">
        <f aca="false">SUMIFS($F$2:$F$548,$C$2:$C$548,C349,$E$2:$E$548,E349)</f>
        <v>99</v>
      </c>
      <c r="N349" s="2" t="str">
        <f aca="false">IF(AND(M349&gt;5000,L349&lt;&gt;"East"),"High-Value Merchant Day","No")</f>
        <v>No</v>
      </c>
    </row>
    <row r="350" customFormat="false" ht="15" hidden="false" customHeight="false" outlineLevel="0" collapsed="false">
      <c r="A350" s="2" t="s">
        <v>428</v>
      </c>
      <c r="B350" s="2" t="n">
        <v>241</v>
      </c>
      <c r="C350" s="2" t="n">
        <v>19</v>
      </c>
      <c r="D350" s="9" t="n">
        <v>46042.8631944444</v>
      </c>
      <c r="E350" s="10" t="n">
        <f aca="false">INT(D350)</f>
        <v>46042</v>
      </c>
      <c r="F350" s="2" t="n">
        <v>299</v>
      </c>
      <c r="G350" s="2" t="s">
        <v>56</v>
      </c>
      <c r="H350" s="2" t="s">
        <v>78</v>
      </c>
      <c r="I350" s="2" t="n">
        <v>68</v>
      </c>
      <c r="J350" s="2" t="str">
        <f aca="false">IFERROR(VLOOKUP($C350,merchants!$A$2:$D$41,2,FALSE()),"Merchant not found")</f>
        <v>Merchant_019</v>
      </c>
      <c r="K350" s="2" t="str">
        <f aca="false">IFERROR(VLOOKUP($C350,merchants!$A$2:$D$41,3,FALSE()),"Merchant not found")</f>
        <v>grocery</v>
      </c>
      <c r="L350" s="2" t="str">
        <f aca="false">IFERROR(VLOOKUP($C350,merchants!$A$2:$D$41,4,FALSE()),"Merchant not found")</f>
        <v>North</v>
      </c>
      <c r="M350" s="2" t="n">
        <f aca="false">SUMIFS($F$2:$F$548,$C$2:$C$548,C350,$E$2:$E$548,E350)</f>
        <v>348</v>
      </c>
      <c r="N350" s="2" t="str">
        <f aca="false">IF(AND(M350&gt;5000,L350&lt;&gt;"East"),"High-Value Merchant Day","No")</f>
        <v>No</v>
      </c>
    </row>
    <row r="351" customFormat="false" ht="15" hidden="false" customHeight="false" outlineLevel="0" collapsed="false">
      <c r="A351" s="2" t="s">
        <v>429</v>
      </c>
      <c r="B351" s="2" t="n">
        <v>69</v>
      </c>
      <c r="C351" s="2" t="n">
        <v>17</v>
      </c>
      <c r="D351" s="9" t="n">
        <v>46023.14375</v>
      </c>
      <c r="E351" s="10" t="n">
        <f aca="false">INT(D351)</f>
        <v>46023</v>
      </c>
      <c r="F351" s="2" t="n">
        <v>1499</v>
      </c>
      <c r="G351" s="2" t="s">
        <v>56</v>
      </c>
      <c r="H351" s="2" t="s">
        <v>78</v>
      </c>
      <c r="I351" s="2" t="n">
        <v>93</v>
      </c>
      <c r="J351" s="2" t="str">
        <f aca="false">IFERROR(VLOOKUP($C351,merchants!$A$2:$D$41,2,FALSE()),"Merchant not found")</f>
        <v>Merchant_017</v>
      </c>
      <c r="K351" s="2" t="str">
        <f aca="false">IFERROR(VLOOKUP($C351,merchants!$A$2:$D$41,3,FALSE()),"Merchant not found")</f>
        <v>grocery</v>
      </c>
      <c r="L351" s="2" t="str">
        <f aca="false">IFERROR(VLOOKUP($C351,merchants!$A$2:$D$41,4,FALSE()),"Merchant not found")</f>
        <v>North</v>
      </c>
      <c r="M351" s="2" t="n">
        <f aca="false">SUMIFS($F$2:$F$548,$C$2:$C$548,C351,$E$2:$E$548,E351)</f>
        <v>1499</v>
      </c>
      <c r="N351" s="2" t="str">
        <f aca="false">IF(AND(M351&gt;5000,L351&lt;&gt;"East"),"High-Value Merchant Day","No")</f>
        <v>No</v>
      </c>
    </row>
    <row r="352" customFormat="false" ht="15" hidden="false" customHeight="false" outlineLevel="0" collapsed="false">
      <c r="A352" s="2" t="s">
        <v>430</v>
      </c>
      <c r="B352" s="2" t="n">
        <v>24</v>
      </c>
      <c r="C352" s="2" t="n">
        <v>26</v>
      </c>
      <c r="D352" s="9" t="n">
        <v>46034.5159722222</v>
      </c>
      <c r="E352" s="10" t="n">
        <f aca="false">INT(D352)</f>
        <v>46034</v>
      </c>
      <c r="F352" s="2" t="n">
        <v>299</v>
      </c>
      <c r="G352" s="2" t="s">
        <v>59</v>
      </c>
      <c r="H352" s="2" t="s">
        <v>78</v>
      </c>
      <c r="I352" s="2" t="n">
        <v>6</v>
      </c>
      <c r="J352" s="2" t="str">
        <f aca="false">IFERROR(VLOOKUP($C352,merchants!$A$2:$D$41,2,FALSE()),"Merchant not found")</f>
        <v>Merchant_026</v>
      </c>
      <c r="K352" s="2" t="str">
        <f aca="false">IFERROR(VLOOKUP($C352,merchants!$A$2:$D$41,3,FALSE()),"Merchant not found")</f>
        <v>food_delivery</v>
      </c>
      <c r="L352" s="2" t="str">
        <f aca="false">IFERROR(VLOOKUP($C352,merchants!$A$2:$D$41,4,FALSE()),"Merchant not found")</f>
        <v>East</v>
      </c>
      <c r="M352" s="2" t="n">
        <f aca="false">SUMIFS($F$2:$F$548,$C$2:$C$548,C352,$E$2:$E$548,E352)</f>
        <v>299</v>
      </c>
      <c r="N352" s="2" t="str">
        <f aca="false">IF(AND(M352&gt;5000,L352&lt;&gt;"East"),"High-Value Merchant Day","No")</f>
        <v>No</v>
      </c>
    </row>
    <row r="353" customFormat="false" ht="15" hidden="false" customHeight="false" outlineLevel="0" collapsed="false">
      <c r="A353" s="2" t="s">
        <v>431</v>
      </c>
      <c r="B353" s="2" t="n">
        <v>186</v>
      </c>
      <c r="C353" s="2" t="n">
        <v>36</v>
      </c>
      <c r="D353" s="9" t="n">
        <v>46041.7166666667</v>
      </c>
      <c r="E353" s="10" t="n">
        <f aca="false">INT(D353)</f>
        <v>46041</v>
      </c>
      <c r="F353" s="2" t="n">
        <v>4999</v>
      </c>
      <c r="G353" s="2" t="s">
        <v>56</v>
      </c>
      <c r="H353" s="2" t="s">
        <v>78</v>
      </c>
      <c r="I353" s="2" t="n">
        <v>36</v>
      </c>
      <c r="J353" s="2" t="str">
        <f aca="false">IFERROR(VLOOKUP($C353,merchants!$A$2:$D$41,2,FALSE()),"Merchant not found")</f>
        <v>Merchant_036</v>
      </c>
      <c r="K353" s="2" t="str">
        <f aca="false">IFERROR(VLOOKUP($C353,merchants!$A$2:$D$41,3,FALSE()),"Merchant not found")</f>
        <v>entertainment</v>
      </c>
      <c r="L353" s="2" t="str">
        <f aca="false">IFERROR(VLOOKUP($C353,merchants!$A$2:$D$41,4,FALSE()),"Merchant not found")</f>
        <v>East</v>
      </c>
      <c r="M353" s="2" t="n">
        <f aca="false">SUMIFS($F$2:$F$548,$C$2:$C$548,C353,$E$2:$E$548,E353)</f>
        <v>4999</v>
      </c>
      <c r="N353" s="2" t="str">
        <f aca="false">IF(AND(M353&gt;5000,L353&lt;&gt;"East"),"High-Value Merchant Day","No")</f>
        <v>No</v>
      </c>
    </row>
    <row r="354" customFormat="false" ht="15" hidden="false" customHeight="false" outlineLevel="0" collapsed="false">
      <c r="A354" s="2" t="s">
        <v>432</v>
      </c>
      <c r="B354" s="2" t="n">
        <v>231</v>
      </c>
      <c r="C354" s="2" t="n">
        <v>36</v>
      </c>
      <c r="D354" s="9" t="n">
        <v>46025.5222222222</v>
      </c>
      <c r="E354" s="10" t="n">
        <f aca="false">INT(D354)</f>
        <v>46025</v>
      </c>
      <c r="F354" s="2" t="n">
        <v>149</v>
      </c>
      <c r="G354" s="2" t="s">
        <v>56</v>
      </c>
      <c r="H354" s="2" t="s">
        <v>78</v>
      </c>
      <c r="I354" s="2" t="n">
        <v>35</v>
      </c>
      <c r="J354" s="2" t="str">
        <f aca="false">IFERROR(VLOOKUP($C354,merchants!$A$2:$D$41,2,FALSE()),"Merchant not found")</f>
        <v>Merchant_036</v>
      </c>
      <c r="K354" s="2" t="str">
        <f aca="false">IFERROR(VLOOKUP($C354,merchants!$A$2:$D$41,3,FALSE()),"Merchant not found")</f>
        <v>entertainment</v>
      </c>
      <c r="L354" s="2" t="str">
        <f aca="false">IFERROR(VLOOKUP($C354,merchants!$A$2:$D$41,4,FALSE()),"Merchant not found")</f>
        <v>East</v>
      </c>
      <c r="M354" s="2" t="n">
        <f aca="false">SUMIFS($F$2:$F$548,$C$2:$C$548,C354,$E$2:$E$548,E354)</f>
        <v>248</v>
      </c>
      <c r="N354" s="2" t="str">
        <f aca="false">IF(AND(M354&gt;5000,L354&lt;&gt;"East"),"High-Value Merchant Day","No")</f>
        <v>No</v>
      </c>
    </row>
    <row r="355" customFormat="false" ht="15" hidden="false" customHeight="false" outlineLevel="0" collapsed="false">
      <c r="A355" s="2" t="s">
        <v>433</v>
      </c>
      <c r="B355" s="2" t="n">
        <v>313</v>
      </c>
      <c r="C355" s="2" t="n">
        <v>8</v>
      </c>
      <c r="D355" s="9" t="n">
        <v>46049.8215277778</v>
      </c>
      <c r="E355" s="10" t="n">
        <f aca="false">INT(D355)</f>
        <v>46049</v>
      </c>
      <c r="F355" s="2" t="n">
        <v>1499</v>
      </c>
      <c r="G355" s="2" t="s">
        <v>59</v>
      </c>
      <c r="H355" s="2" t="s">
        <v>78</v>
      </c>
      <c r="I355" s="2" t="n">
        <v>16</v>
      </c>
      <c r="J355" s="2" t="str">
        <f aca="false">IFERROR(VLOOKUP($C355,merchants!$A$2:$D$41,2,FALSE()),"Merchant not found")</f>
        <v>Merchant_008</v>
      </c>
      <c r="K355" s="2" t="str">
        <f aca="false">IFERROR(VLOOKUP($C355,merchants!$A$2:$D$41,3,FALSE()),"Merchant not found")</f>
        <v>food_delivery</v>
      </c>
      <c r="L355" s="2" t="str">
        <f aca="false">IFERROR(VLOOKUP($C355,merchants!$A$2:$D$41,4,FALSE()),"Merchant not found")</f>
        <v>North</v>
      </c>
      <c r="M355" s="2" t="n">
        <f aca="false">SUMIFS($F$2:$F$548,$C$2:$C$548,C355,$E$2:$E$548,E355)</f>
        <v>1499</v>
      </c>
      <c r="N355" s="2" t="str">
        <f aca="false">IF(AND(M355&gt;5000,L355&lt;&gt;"East"),"High-Value Merchant Day","No")</f>
        <v>No</v>
      </c>
    </row>
    <row r="356" customFormat="false" ht="15" hidden="false" customHeight="false" outlineLevel="0" collapsed="false">
      <c r="A356" s="2" t="s">
        <v>434</v>
      </c>
      <c r="B356" s="2" t="n">
        <v>174</v>
      </c>
      <c r="C356" s="2" t="n">
        <v>36</v>
      </c>
      <c r="D356" s="9" t="n">
        <v>46026.5159722222</v>
      </c>
      <c r="E356" s="10" t="n">
        <f aca="false">INT(D356)</f>
        <v>46026</v>
      </c>
      <c r="F356" s="2" t="n">
        <v>149</v>
      </c>
      <c r="G356" s="2" t="s">
        <v>56</v>
      </c>
      <c r="H356" s="2" t="s">
        <v>78</v>
      </c>
      <c r="I356" s="2" t="n">
        <v>46</v>
      </c>
      <c r="J356" s="2" t="str">
        <f aca="false">IFERROR(VLOOKUP($C356,merchants!$A$2:$D$41,2,FALSE()),"Merchant not found")</f>
        <v>Merchant_036</v>
      </c>
      <c r="K356" s="2" t="str">
        <f aca="false">IFERROR(VLOOKUP($C356,merchants!$A$2:$D$41,3,FALSE()),"Merchant not found")</f>
        <v>entertainment</v>
      </c>
      <c r="L356" s="2" t="str">
        <f aca="false">IFERROR(VLOOKUP($C356,merchants!$A$2:$D$41,4,FALSE()),"Merchant not found")</f>
        <v>East</v>
      </c>
      <c r="M356" s="2" t="n">
        <f aca="false">SUMIFS($F$2:$F$548,$C$2:$C$548,C356,$E$2:$E$548,E356)</f>
        <v>149</v>
      </c>
      <c r="N356" s="2" t="str">
        <f aca="false">IF(AND(M356&gt;5000,L356&lt;&gt;"East"),"High-Value Merchant Day","No")</f>
        <v>No</v>
      </c>
    </row>
    <row r="357" customFormat="false" ht="15" hidden="false" customHeight="false" outlineLevel="0" collapsed="false">
      <c r="A357" s="2" t="s">
        <v>435</v>
      </c>
      <c r="B357" s="2" t="n">
        <v>309</v>
      </c>
      <c r="C357" s="2" t="n">
        <v>33</v>
      </c>
      <c r="D357" s="9" t="n">
        <v>46047.175</v>
      </c>
      <c r="E357" s="10" t="n">
        <f aca="false">INT(D357)</f>
        <v>46047</v>
      </c>
      <c r="F357" s="2" t="n">
        <v>99</v>
      </c>
      <c r="G357" s="2" t="s">
        <v>56</v>
      </c>
      <c r="H357" s="2" t="s">
        <v>78</v>
      </c>
      <c r="I357" s="2" t="n">
        <v>51</v>
      </c>
      <c r="J357" s="2" t="str">
        <f aca="false">IFERROR(VLOOKUP($C357,merchants!$A$2:$D$41,2,FALSE()),"Merchant not found")</f>
        <v>Merchant_033</v>
      </c>
      <c r="K357" s="2" t="str">
        <f aca="false">IFERROR(VLOOKUP($C357,merchants!$A$2:$D$41,3,FALSE()),"Merchant not found")</f>
        <v>bill_payment</v>
      </c>
      <c r="L357" s="2" t="str">
        <f aca="false">IFERROR(VLOOKUP($C357,merchants!$A$2:$D$41,4,FALSE()),"Merchant not found")</f>
        <v>East</v>
      </c>
      <c r="M357" s="2" t="n">
        <f aca="false">SUMIFS($F$2:$F$548,$C$2:$C$548,C357,$E$2:$E$548,E357)</f>
        <v>99</v>
      </c>
      <c r="N357" s="2" t="str">
        <f aca="false">IF(AND(M357&gt;5000,L357&lt;&gt;"East"),"High-Value Merchant Day","No")</f>
        <v>No</v>
      </c>
    </row>
    <row r="358" customFormat="false" ht="15" hidden="false" customHeight="false" outlineLevel="0" collapsed="false">
      <c r="A358" s="2" t="s">
        <v>436</v>
      </c>
      <c r="B358" s="2" t="n">
        <v>20</v>
      </c>
      <c r="C358" s="2" t="n">
        <v>9</v>
      </c>
      <c r="D358" s="9" t="n">
        <v>46039.0430555556</v>
      </c>
      <c r="E358" s="10" t="n">
        <f aca="false">INT(D358)</f>
        <v>46039</v>
      </c>
      <c r="F358" s="2" t="n">
        <v>99</v>
      </c>
      <c r="G358" s="2" t="s">
        <v>56</v>
      </c>
      <c r="H358" s="2" t="s">
        <v>78</v>
      </c>
      <c r="I358" s="2" t="n">
        <v>91</v>
      </c>
      <c r="J358" s="2" t="str">
        <f aca="false">IFERROR(VLOOKUP($C358,merchants!$A$2:$D$41,2,FALSE()),"Merchant not found")</f>
        <v>Merchant_009</v>
      </c>
      <c r="K358" s="2" t="str">
        <f aca="false">IFERROR(VLOOKUP($C358,merchants!$A$2:$D$41,3,FALSE()),"Merchant not found")</f>
        <v>ecommerce</v>
      </c>
      <c r="L358" s="2" t="str">
        <f aca="false">IFERROR(VLOOKUP($C358,merchants!$A$2:$D$41,4,FALSE()),"Merchant not found")</f>
        <v>North</v>
      </c>
      <c r="M358" s="2" t="n">
        <f aca="false">SUMIFS($F$2:$F$548,$C$2:$C$548,C358,$E$2:$E$548,E358)</f>
        <v>248</v>
      </c>
      <c r="N358" s="2" t="str">
        <f aca="false">IF(AND(M358&gt;5000,L358&lt;&gt;"East"),"High-Value Merchant Day","No")</f>
        <v>No</v>
      </c>
    </row>
    <row r="359" customFormat="false" ht="15" hidden="false" customHeight="false" outlineLevel="0" collapsed="false">
      <c r="A359" s="2" t="s">
        <v>437</v>
      </c>
      <c r="B359" s="2" t="n">
        <v>234</v>
      </c>
      <c r="C359" s="2" t="n">
        <v>10</v>
      </c>
      <c r="D359" s="9" t="n">
        <v>46033.6479166667</v>
      </c>
      <c r="E359" s="10" t="n">
        <f aca="false">INT(D359)</f>
        <v>46033</v>
      </c>
      <c r="F359" s="2" t="n">
        <v>49</v>
      </c>
      <c r="G359" s="2" t="s">
        <v>56</v>
      </c>
      <c r="H359" s="2" t="s">
        <v>78</v>
      </c>
      <c r="I359" s="2" t="n">
        <v>77</v>
      </c>
      <c r="J359" s="2" t="str">
        <f aca="false">IFERROR(VLOOKUP($C359,merchants!$A$2:$D$41,2,FALSE()),"Merchant not found")</f>
        <v>Merchant_010</v>
      </c>
      <c r="K359" s="2" t="str">
        <f aca="false">IFERROR(VLOOKUP($C359,merchants!$A$2:$D$41,3,FALSE()),"Merchant not found")</f>
        <v>grocery</v>
      </c>
      <c r="L359" s="2" t="str">
        <f aca="false">IFERROR(VLOOKUP($C359,merchants!$A$2:$D$41,4,FALSE()),"Merchant not found")</f>
        <v>West</v>
      </c>
      <c r="M359" s="2" t="n">
        <f aca="false">SUMIFS($F$2:$F$548,$C$2:$C$548,C359,$E$2:$E$548,E359)</f>
        <v>98</v>
      </c>
      <c r="N359" s="2" t="str">
        <f aca="false">IF(AND(M359&gt;5000,L359&lt;&gt;"East"),"High-Value Merchant Day","No")</f>
        <v>No</v>
      </c>
    </row>
    <row r="360" customFormat="false" ht="15" hidden="false" customHeight="false" outlineLevel="0" collapsed="false">
      <c r="A360" s="2" t="s">
        <v>438</v>
      </c>
      <c r="B360" s="2" t="n">
        <v>168</v>
      </c>
      <c r="C360" s="2" t="n">
        <v>40</v>
      </c>
      <c r="D360" s="9" t="n">
        <v>46051.6722222222</v>
      </c>
      <c r="E360" s="10" t="n">
        <f aca="false">INT(D360)</f>
        <v>46051</v>
      </c>
      <c r="F360" s="2" t="n">
        <v>149</v>
      </c>
      <c r="G360" s="2" t="s">
        <v>56</v>
      </c>
      <c r="H360" s="2" t="s">
        <v>103</v>
      </c>
      <c r="I360" s="2" t="n">
        <v>40</v>
      </c>
      <c r="J360" s="2" t="str">
        <f aca="false">IFERROR(VLOOKUP($C360,merchants!$A$2:$D$41,2,FALSE()),"Merchant not found")</f>
        <v>Merchant_040</v>
      </c>
      <c r="K360" s="2" t="str">
        <f aca="false">IFERROR(VLOOKUP($C360,merchants!$A$2:$D$41,3,FALSE()),"Merchant not found")</f>
        <v>entertainment</v>
      </c>
      <c r="L360" s="2" t="str">
        <f aca="false">IFERROR(VLOOKUP($C360,merchants!$A$2:$D$41,4,FALSE()),"Merchant not found")</f>
        <v>South</v>
      </c>
      <c r="M360" s="2" t="n">
        <f aca="false">SUMIFS($F$2:$F$548,$C$2:$C$548,C360,$E$2:$E$548,E360)</f>
        <v>149</v>
      </c>
      <c r="N360" s="2" t="str">
        <f aca="false">IF(AND(M360&gt;5000,L360&lt;&gt;"East"),"High-Value Merchant Day","No")</f>
        <v>No</v>
      </c>
    </row>
    <row r="361" customFormat="false" ht="15" hidden="false" customHeight="false" outlineLevel="0" collapsed="false">
      <c r="A361" s="2" t="s">
        <v>439</v>
      </c>
      <c r="B361" s="2" t="n">
        <v>154</v>
      </c>
      <c r="C361" s="2" t="n">
        <v>38</v>
      </c>
      <c r="D361" s="9" t="n">
        <v>46028.5270833333</v>
      </c>
      <c r="E361" s="10" t="n">
        <f aca="false">INT(D361)</f>
        <v>46028</v>
      </c>
      <c r="F361" s="2" t="n">
        <v>99</v>
      </c>
      <c r="G361" s="2" t="s">
        <v>59</v>
      </c>
      <c r="H361" s="2" t="s">
        <v>78</v>
      </c>
      <c r="I361" s="2" t="n">
        <v>43</v>
      </c>
      <c r="J361" s="2" t="str">
        <f aca="false">IFERROR(VLOOKUP($C361,merchants!$A$2:$D$41,2,FALSE()),"Merchant not found")</f>
        <v>Merchant_038</v>
      </c>
      <c r="K361" s="2" t="str">
        <f aca="false">IFERROR(VLOOKUP($C361,merchants!$A$2:$D$41,3,FALSE()),"Merchant not found")</f>
        <v>grocery</v>
      </c>
      <c r="L361" s="2" t="str">
        <f aca="false">IFERROR(VLOOKUP($C361,merchants!$A$2:$D$41,4,FALSE()),"Merchant not found")</f>
        <v>East</v>
      </c>
      <c r="M361" s="2" t="n">
        <f aca="false">SUMIFS($F$2:$F$548,$C$2:$C$548,C361,$E$2:$E$548,E361)</f>
        <v>99</v>
      </c>
      <c r="N361" s="2" t="str">
        <f aca="false">IF(AND(M361&gt;5000,L361&lt;&gt;"East"),"High-Value Merchant Day","No")</f>
        <v>No</v>
      </c>
    </row>
    <row r="362" customFormat="false" ht="15" hidden="false" customHeight="false" outlineLevel="0" collapsed="false">
      <c r="A362" s="2" t="s">
        <v>440</v>
      </c>
      <c r="B362" s="2" t="n">
        <v>251</v>
      </c>
      <c r="C362" s="2" t="n">
        <v>37</v>
      </c>
      <c r="D362" s="9" t="n">
        <v>46039.6902777778</v>
      </c>
      <c r="E362" s="10" t="n">
        <f aca="false">INT(D362)</f>
        <v>46039</v>
      </c>
      <c r="F362" s="2" t="n">
        <v>49</v>
      </c>
      <c r="G362" s="2" t="s">
        <v>56</v>
      </c>
      <c r="H362" s="2" t="s">
        <v>78</v>
      </c>
      <c r="I362" s="2" t="n">
        <v>38</v>
      </c>
      <c r="J362" s="2" t="str">
        <f aca="false">IFERROR(VLOOKUP($C362,merchants!$A$2:$D$41,2,FALSE()),"Merchant not found")</f>
        <v>Merchant_037</v>
      </c>
      <c r="K362" s="2" t="str">
        <f aca="false">IFERROR(VLOOKUP($C362,merchants!$A$2:$D$41,3,FALSE()),"Merchant not found")</f>
        <v>entertainment</v>
      </c>
      <c r="L362" s="2" t="str">
        <f aca="false">IFERROR(VLOOKUP($C362,merchants!$A$2:$D$41,4,FALSE()),"Merchant not found")</f>
        <v>South</v>
      </c>
      <c r="M362" s="2" t="n">
        <f aca="false">SUMIFS($F$2:$F$548,$C$2:$C$548,C362,$E$2:$E$548,E362)</f>
        <v>49</v>
      </c>
      <c r="N362" s="2" t="str">
        <f aca="false">IF(AND(M362&gt;5000,L362&lt;&gt;"East"),"High-Value Merchant Day","No")</f>
        <v>No</v>
      </c>
    </row>
    <row r="363" customFormat="false" ht="15" hidden="false" customHeight="false" outlineLevel="0" collapsed="false">
      <c r="A363" s="2" t="s">
        <v>441</v>
      </c>
      <c r="B363" s="2" t="n">
        <v>170</v>
      </c>
      <c r="C363" s="2" t="n">
        <v>8</v>
      </c>
      <c r="D363" s="9" t="n">
        <v>46038.0159722222</v>
      </c>
      <c r="E363" s="10" t="n">
        <f aca="false">INT(D363)</f>
        <v>46038</v>
      </c>
      <c r="F363" s="2" t="n">
        <v>2999</v>
      </c>
      <c r="G363" s="2" t="s">
        <v>56</v>
      </c>
      <c r="H363" s="2" t="s">
        <v>78</v>
      </c>
      <c r="I363" s="2" t="n">
        <v>53</v>
      </c>
      <c r="J363" s="2" t="str">
        <f aca="false">IFERROR(VLOOKUP($C363,merchants!$A$2:$D$41,2,FALSE()),"Merchant not found")</f>
        <v>Merchant_008</v>
      </c>
      <c r="K363" s="2" t="str">
        <f aca="false">IFERROR(VLOOKUP($C363,merchants!$A$2:$D$41,3,FALSE()),"Merchant not found")</f>
        <v>food_delivery</v>
      </c>
      <c r="L363" s="2" t="str">
        <f aca="false">IFERROR(VLOOKUP($C363,merchants!$A$2:$D$41,4,FALSE()),"Merchant not found")</f>
        <v>North</v>
      </c>
      <c r="M363" s="2" t="n">
        <f aca="false">SUMIFS($F$2:$F$548,$C$2:$C$548,C363,$E$2:$E$548,E363)</f>
        <v>2999</v>
      </c>
      <c r="N363" s="2" t="str">
        <f aca="false">IF(AND(M363&gt;5000,L363&lt;&gt;"East"),"High-Value Merchant Day","No")</f>
        <v>No</v>
      </c>
    </row>
    <row r="364" customFormat="false" ht="15" hidden="false" customHeight="false" outlineLevel="0" collapsed="false">
      <c r="A364" s="2" t="s">
        <v>442</v>
      </c>
      <c r="B364" s="2" t="n">
        <v>323</v>
      </c>
      <c r="C364" s="2" t="n">
        <v>2</v>
      </c>
      <c r="D364" s="9" t="n">
        <v>46041.4097222222</v>
      </c>
      <c r="E364" s="10" t="n">
        <f aca="false">INT(D364)</f>
        <v>46041</v>
      </c>
      <c r="F364" s="2" t="n">
        <v>49</v>
      </c>
      <c r="G364" s="2" t="s">
        <v>59</v>
      </c>
      <c r="H364" s="2" t="s">
        <v>78</v>
      </c>
      <c r="I364" s="2" t="n">
        <v>76</v>
      </c>
      <c r="J364" s="2" t="str">
        <f aca="false">IFERROR(VLOOKUP($C364,merchants!$A$2:$D$41,2,FALSE()),"Merchant not found")</f>
        <v>Merchant_002</v>
      </c>
      <c r="K364" s="2" t="str">
        <f aca="false">IFERROR(VLOOKUP($C364,merchants!$A$2:$D$41,3,FALSE()),"Merchant not found")</f>
        <v>grocery</v>
      </c>
      <c r="L364" s="2" t="str">
        <f aca="false">IFERROR(VLOOKUP($C364,merchants!$A$2:$D$41,4,FALSE()),"Merchant not found")</f>
        <v>West</v>
      </c>
      <c r="M364" s="2" t="n">
        <f aca="false">SUMIFS($F$2:$F$548,$C$2:$C$548,C364,$E$2:$E$548,E364)</f>
        <v>49</v>
      </c>
      <c r="N364" s="2" t="str">
        <f aca="false">IF(AND(M364&gt;5000,L364&lt;&gt;"East"),"High-Value Merchant Day","No")</f>
        <v>No</v>
      </c>
    </row>
    <row r="365" customFormat="false" ht="15" hidden="false" customHeight="false" outlineLevel="0" collapsed="false">
      <c r="A365" s="2" t="s">
        <v>443</v>
      </c>
      <c r="B365" s="2" t="n">
        <v>297</v>
      </c>
      <c r="C365" s="2" t="n">
        <v>37</v>
      </c>
      <c r="D365" s="9" t="n">
        <v>46038.3618055556</v>
      </c>
      <c r="E365" s="10" t="n">
        <f aca="false">INT(D365)</f>
        <v>46038</v>
      </c>
      <c r="F365" s="2" t="n">
        <v>2999</v>
      </c>
      <c r="G365" s="2" t="s">
        <v>57</v>
      </c>
      <c r="H365" s="2" t="s">
        <v>78</v>
      </c>
      <c r="I365" s="2" t="n">
        <v>29</v>
      </c>
      <c r="J365" s="2" t="str">
        <f aca="false">IFERROR(VLOOKUP($C365,merchants!$A$2:$D$41,2,FALSE()),"Merchant not found")</f>
        <v>Merchant_037</v>
      </c>
      <c r="K365" s="2" t="str">
        <f aca="false">IFERROR(VLOOKUP($C365,merchants!$A$2:$D$41,3,FALSE()),"Merchant not found")</f>
        <v>entertainment</v>
      </c>
      <c r="L365" s="2" t="str">
        <f aca="false">IFERROR(VLOOKUP($C365,merchants!$A$2:$D$41,4,FALSE()),"Merchant not found")</f>
        <v>South</v>
      </c>
      <c r="M365" s="2" t="n">
        <f aca="false">SUMIFS($F$2:$F$548,$C$2:$C$548,C365,$E$2:$E$548,E365)</f>
        <v>2999</v>
      </c>
      <c r="N365" s="2" t="str">
        <f aca="false">IF(AND(M365&gt;5000,L365&lt;&gt;"East"),"High-Value Merchant Day","No")</f>
        <v>No</v>
      </c>
    </row>
    <row r="366" customFormat="false" ht="15" hidden="false" customHeight="false" outlineLevel="0" collapsed="false">
      <c r="A366" s="2" t="s">
        <v>444</v>
      </c>
      <c r="B366" s="2" t="n">
        <v>246</v>
      </c>
      <c r="C366" s="2" t="n">
        <v>11</v>
      </c>
      <c r="D366" s="9" t="n">
        <v>46046.0673611111</v>
      </c>
      <c r="E366" s="10" t="n">
        <f aca="false">INT(D366)</f>
        <v>46046</v>
      </c>
      <c r="F366" s="2" t="n">
        <v>299</v>
      </c>
      <c r="G366" s="2" t="s">
        <v>56</v>
      </c>
      <c r="H366" s="2" t="s">
        <v>78</v>
      </c>
      <c r="I366" s="2" t="n">
        <v>67</v>
      </c>
      <c r="J366" s="2" t="str">
        <f aca="false">IFERROR(VLOOKUP($C366,merchants!$A$2:$D$41,2,FALSE()),"Merchant not found")</f>
        <v>Merchant_011</v>
      </c>
      <c r="K366" s="2" t="str">
        <f aca="false">IFERROR(VLOOKUP($C366,merchants!$A$2:$D$41,3,FALSE()),"Merchant not found")</f>
        <v>ecommerce</v>
      </c>
      <c r="L366" s="2" t="str">
        <f aca="false">IFERROR(VLOOKUP($C366,merchants!$A$2:$D$41,4,FALSE()),"Merchant not found")</f>
        <v>North</v>
      </c>
      <c r="M366" s="2" t="n">
        <f aca="false">SUMIFS($F$2:$F$548,$C$2:$C$548,C366,$E$2:$E$548,E366)</f>
        <v>1798</v>
      </c>
      <c r="N366" s="2" t="str">
        <f aca="false">IF(AND(M366&gt;5000,L366&lt;&gt;"East"),"High-Value Merchant Day","No")</f>
        <v>No</v>
      </c>
    </row>
    <row r="367" customFormat="false" ht="15" hidden="false" customHeight="false" outlineLevel="0" collapsed="false">
      <c r="A367" s="2" t="s">
        <v>445</v>
      </c>
      <c r="B367" s="2" t="n">
        <v>195</v>
      </c>
      <c r="C367" s="2" t="n">
        <v>10</v>
      </c>
      <c r="D367" s="9" t="n">
        <v>46043.9854166667</v>
      </c>
      <c r="E367" s="10" t="n">
        <f aca="false">INT(D367)</f>
        <v>46043</v>
      </c>
      <c r="F367" s="2" t="n">
        <v>99</v>
      </c>
      <c r="G367" s="2" t="s">
        <v>56</v>
      </c>
      <c r="H367" s="2" t="s">
        <v>78</v>
      </c>
      <c r="I367" s="2" t="n">
        <v>87</v>
      </c>
      <c r="J367" s="2" t="str">
        <f aca="false">IFERROR(VLOOKUP($C367,merchants!$A$2:$D$41,2,FALSE()),"Merchant not found")</f>
        <v>Merchant_010</v>
      </c>
      <c r="K367" s="2" t="str">
        <f aca="false">IFERROR(VLOOKUP($C367,merchants!$A$2:$D$41,3,FALSE()),"Merchant not found")</f>
        <v>grocery</v>
      </c>
      <c r="L367" s="2" t="str">
        <f aca="false">IFERROR(VLOOKUP($C367,merchants!$A$2:$D$41,4,FALSE()),"Merchant not found")</f>
        <v>West</v>
      </c>
      <c r="M367" s="2" t="n">
        <f aca="false">SUMIFS($F$2:$F$548,$C$2:$C$548,C367,$E$2:$E$548,E367)</f>
        <v>398</v>
      </c>
      <c r="N367" s="2" t="str">
        <f aca="false">IF(AND(M367&gt;5000,L367&lt;&gt;"East"),"High-Value Merchant Day","No")</f>
        <v>No</v>
      </c>
    </row>
    <row r="368" customFormat="false" ht="15" hidden="false" customHeight="false" outlineLevel="0" collapsed="false">
      <c r="A368" s="2" t="s">
        <v>446</v>
      </c>
      <c r="B368" s="2" t="n">
        <v>57</v>
      </c>
      <c r="C368" s="2" t="n">
        <v>13</v>
      </c>
      <c r="D368" s="9" t="n">
        <v>46030.0666666667</v>
      </c>
      <c r="E368" s="10" t="n">
        <f aca="false">INT(D368)</f>
        <v>46030</v>
      </c>
      <c r="F368" s="2" t="n">
        <v>149</v>
      </c>
      <c r="G368" s="2" t="s">
        <v>56</v>
      </c>
      <c r="H368" s="2" t="s">
        <v>78</v>
      </c>
      <c r="I368" s="2" t="n">
        <v>2</v>
      </c>
      <c r="J368" s="2" t="str">
        <f aca="false">IFERROR(VLOOKUP($C368,merchants!$A$2:$D$41,2,FALSE()),"Merchant not found")</f>
        <v>Merchant_013</v>
      </c>
      <c r="K368" s="2" t="str">
        <f aca="false">IFERROR(VLOOKUP($C368,merchants!$A$2:$D$41,3,FALSE()),"Merchant not found")</f>
        <v>travel</v>
      </c>
      <c r="L368" s="2" t="str">
        <f aca="false">IFERROR(VLOOKUP($C368,merchants!$A$2:$D$41,4,FALSE()),"Merchant not found")</f>
        <v>East</v>
      </c>
      <c r="M368" s="2" t="n">
        <f aca="false">SUMIFS($F$2:$F$548,$C$2:$C$548,C368,$E$2:$E$548,E368)</f>
        <v>149</v>
      </c>
      <c r="N368" s="2" t="str">
        <f aca="false">IF(AND(M368&gt;5000,L368&lt;&gt;"East"),"High-Value Merchant Day","No")</f>
        <v>No</v>
      </c>
    </row>
    <row r="369" customFormat="false" ht="15" hidden="false" customHeight="false" outlineLevel="0" collapsed="false">
      <c r="A369" s="2" t="s">
        <v>447</v>
      </c>
      <c r="B369" s="2" t="n">
        <v>78</v>
      </c>
      <c r="C369" s="2" t="n">
        <v>27</v>
      </c>
      <c r="D369" s="9" t="n">
        <v>46037.4347222222</v>
      </c>
      <c r="E369" s="10" t="n">
        <f aca="false">INT(D369)</f>
        <v>46037</v>
      </c>
      <c r="F369" s="2" t="n">
        <v>1499</v>
      </c>
      <c r="G369" s="2" t="s">
        <v>59</v>
      </c>
      <c r="H369" s="2" t="s">
        <v>90</v>
      </c>
      <c r="I369" s="2" t="n">
        <v>88</v>
      </c>
      <c r="J369" s="2" t="str">
        <f aca="false">IFERROR(VLOOKUP($C369,merchants!$A$2:$D$41,2,FALSE()),"Merchant not found")</f>
        <v>Merchant_027</v>
      </c>
      <c r="K369" s="2" t="str">
        <f aca="false">IFERROR(VLOOKUP($C369,merchants!$A$2:$D$41,3,FALSE()),"Merchant not found")</f>
        <v>ecommerce</v>
      </c>
      <c r="L369" s="2" t="str">
        <f aca="false">IFERROR(VLOOKUP($C369,merchants!$A$2:$D$41,4,FALSE()),"Merchant not found")</f>
        <v>North</v>
      </c>
      <c r="M369" s="2" t="n">
        <f aca="false">SUMIFS($F$2:$F$548,$C$2:$C$548,C369,$E$2:$E$548,E369)</f>
        <v>1499</v>
      </c>
      <c r="N369" s="2" t="str">
        <f aca="false">IF(AND(M369&gt;5000,L369&lt;&gt;"East"),"High-Value Merchant Day","No")</f>
        <v>No</v>
      </c>
    </row>
    <row r="370" customFormat="false" ht="15" hidden="false" customHeight="false" outlineLevel="0" collapsed="false">
      <c r="A370" s="2" t="s">
        <v>448</v>
      </c>
      <c r="B370" s="2" t="n">
        <v>314</v>
      </c>
      <c r="C370" s="2" t="n">
        <v>31</v>
      </c>
      <c r="D370" s="9" t="n">
        <v>46029.5638888889</v>
      </c>
      <c r="E370" s="10" t="n">
        <f aca="false">INT(D370)</f>
        <v>46029</v>
      </c>
      <c r="F370" s="2" t="n">
        <v>49</v>
      </c>
      <c r="G370" s="2" t="s">
        <v>56</v>
      </c>
      <c r="H370" s="2" t="s">
        <v>103</v>
      </c>
      <c r="I370" s="2" t="n">
        <v>94</v>
      </c>
      <c r="J370" s="2" t="str">
        <f aca="false">IFERROR(VLOOKUP($C370,merchants!$A$2:$D$41,2,FALSE()),"Merchant not found")</f>
        <v>Merchant_031</v>
      </c>
      <c r="K370" s="2" t="str">
        <f aca="false">IFERROR(VLOOKUP($C370,merchants!$A$2:$D$41,3,FALSE()),"Merchant not found")</f>
        <v>bill_payment</v>
      </c>
      <c r="L370" s="2" t="str">
        <f aca="false">IFERROR(VLOOKUP($C370,merchants!$A$2:$D$41,4,FALSE()),"Merchant not found")</f>
        <v>East</v>
      </c>
      <c r="M370" s="2" t="n">
        <f aca="false">SUMIFS($F$2:$F$548,$C$2:$C$548,C370,$E$2:$E$548,E370)</f>
        <v>49</v>
      </c>
      <c r="N370" s="2" t="str">
        <f aca="false">IF(AND(M370&gt;5000,L370&lt;&gt;"East"),"High-Value Merchant Day","No")</f>
        <v>No</v>
      </c>
    </row>
    <row r="371" customFormat="false" ht="15" hidden="false" customHeight="false" outlineLevel="0" collapsed="false">
      <c r="A371" s="2" t="s">
        <v>449</v>
      </c>
      <c r="B371" s="2" t="n">
        <v>71</v>
      </c>
      <c r="C371" s="2" t="n">
        <v>34</v>
      </c>
      <c r="D371" s="9" t="n">
        <v>46046.0729166667</v>
      </c>
      <c r="E371" s="10" t="n">
        <f aca="false">INT(D371)</f>
        <v>46046</v>
      </c>
      <c r="F371" s="2" t="n">
        <v>499</v>
      </c>
      <c r="G371" s="2" t="s">
        <v>56</v>
      </c>
      <c r="H371" s="2" t="s">
        <v>78</v>
      </c>
      <c r="I371" s="2" t="n">
        <v>26</v>
      </c>
      <c r="J371" s="2" t="str">
        <f aca="false">IFERROR(VLOOKUP($C371,merchants!$A$2:$D$41,2,FALSE()),"Merchant not found")</f>
        <v>Merchant_034</v>
      </c>
      <c r="K371" s="2" t="str">
        <f aca="false">IFERROR(VLOOKUP($C371,merchants!$A$2:$D$41,3,FALSE()),"Merchant not found")</f>
        <v>travel</v>
      </c>
      <c r="L371" s="2" t="str">
        <f aca="false">IFERROR(VLOOKUP($C371,merchants!$A$2:$D$41,4,FALSE()),"Merchant not found")</f>
        <v>South</v>
      </c>
      <c r="M371" s="2" t="n">
        <f aca="false">SUMIFS($F$2:$F$548,$C$2:$C$548,C371,$E$2:$E$548,E371)</f>
        <v>548</v>
      </c>
      <c r="N371" s="2" t="str">
        <f aca="false">IF(AND(M371&gt;5000,L371&lt;&gt;"East"),"High-Value Merchant Day","No")</f>
        <v>No</v>
      </c>
    </row>
    <row r="372" customFormat="false" ht="15" hidden="false" customHeight="false" outlineLevel="0" collapsed="false">
      <c r="A372" s="2" t="s">
        <v>450</v>
      </c>
      <c r="B372" s="2" t="n">
        <v>245</v>
      </c>
      <c r="C372" s="2" t="n">
        <v>34</v>
      </c>
      <c r="D372" s="9" t="n">
        <v>46040.4458333333</v>
      </c>
      <c r="E372" s="10" t="n">
        <f aca="false">INT(D372)</f>
        <v>46040</v>
      </c>
      <c r="F372" s="2" t="n">
        <v>99</v>
      </c>
      <c r="G372" s="2" t="s">
        <v>56</v>
      </c>
      <c r="H372" s="2" t="s">
        <v>78</v>
      </c>
      <c r="I372" s="2" t="n">
        <v>48</v>
      </c>
      <c r="J372" s="2" t="str">
        <f aca="false">IFERROR(VLOOKUP($C372,merchants!$A$2:$D$41,2,FALSE()),"Merchant not found")</f>
        <v>Merchant_034</v>
      </c>
      <c r="K372" s="2" t="str">
        <f aca="false">IFERROR(VLOOKUP($C372,merchants!$A$2:$D$41,3,FALSE()),"Merchant not found")</f>
        <v>travel</v>
      </c>
      <c r="L372" s="2" t="str">
        <f aca="false">IFERROR(VLOOKUP($C372,merchants!$A$2:$D$41,4,FALSE()),"Merchant not found")</f>
        <v>South</v>
      </c>
      <c r="M372" s="2" t="n">
        <f aca="false">SUMIFS($F$2:$F$548,$C$2:$C$548,C372,$E$2:$E$548,E372)</f>
        <v>148</v>
      </c>
      <c r="N372" s="2" t="str">
        <f aca="false">IF(AND(M372&gt;5000,L372&lt;&gt;"East"),"High-Value Merchant Day","No")</f>
        <v>No</v>
      </c>
    </row>
    <row r="373" customFormat="false" ht="15" hidden="false" customHeight="false" outlineLevel="0" collapsed="false">
      <c r="A373" s="2" t="s">
        <v>451</v>
      </c>
      <c r="B373" s="2" t="n">
        <v>273</v>
      </c>
      <c r="C373" s="2" t="n">
        <v>22</v>
      </c>
      <c r="D373" s="9" t="n">
        <v>46033.2284722222</v>
      </c>
      <c r="E373" s="10" t="n">
        <f aca="false">INT(D373)</f>
        <v>46033</v>
      </c>
      <c r="F373" s="2" t="n">
        <v>299</v>
      </c>
      <c r="G373" s="2" t="s">
        <v>57</v>
      </c>
      <c r="H373" s="2" t="s">
        <v>78</v>
      </c>
      <c r="I373" s="2" t="n">
        <v>69</v>
      </c>
      <c r="J373" s="2" t="str">
        <f aca="false">IFERROR(VLOOKUP($C373,merchants!$A$2:$D$41,2,FALSE()),"Merchant not found")</f>
        <v>Merchant_022</v>
      </c>
      <c r="K373" s="2" t="str">
        <f aca="false">IFERROR(VLOOKUP($C373,merchants!$A$2:$D$41,3,FALSE()),"Merchant not found")</f>
        <v>travel</v>
      </c>
      <c r="L373" s="2" t="str">
        <f aca="false">IFERROR(VLOOKUP($C373,merchants!$A$2:$D$41,4,FALSE()),"Merchant not found")</f>
        <v>South</v>
      </c>
      <c r="M373" s="2" t="n">
        <f aca="false">SUMIFS($F$2:$F$548,$C$2:$C$548,C373,$E$2:$E$548,E373)</f>
        <v>299</v>
      </c>
      <c r="N373" s="2" t="str">
        <f aca="false">IF(AND(M373&gt;5000,L373&lt;&gt;"East"),"High-Value Merchant Day","No")</f>
        <v>No</v>
      </c>
    </row>
    <row r="374" customFormat="false" ht="15" hidden="false" customHeight="false" outlineLevel="0" collapsed="false">
      <c r="A374" s="2" t="s">
        <v>452</v>
      </c>
      <c r="B374" s="2" t="n">
        <v>349</v>
      </c>
      <c r="C374" s="2" t="n">
        <v>17</v>
      </c>
      <c r="D374" s="9" t="n">
        <v>46034.9090277778</v>
      </c>
      <c r="E374" s="10" t="n">
        <f aca="false">INT(D374)</f>
        <v>46034</v>
      </c>
      <c r="F374" s="2" t="n">
        <v>1499</v>
      </c>
      <c r="G374" s="2" t="s">
        <v>56</v>
      </c>
      <c r="H374" s="2" t="s">
        <v>78</v>
      </c>
      <c r="I374" s="2" t="n">
        <v>78</v>
      </c>
      <c r="J374" s="2" t="str">
        <f aca="false">IFERROR(VLOOKUP($C374,merchants!$A$2:$D$41,2,FALSE()),"Merchant not found")</f>
        <v>Merchant_017</v>
      </c>
      <c r="K374" s="2" t="str">
        <f aca="false">IFERROR(VLOOKUP($C374,merchants!$A$2:$D$41,3,FALSE()),"Merchant not found")</f>
        <v>grocery</v>
      </c>
      <c r="L374" s="2" t="str">
        <f aca="false">IFERROR(VLOOKUP($C374,merchants!$A$2:$D$41,4,FALSE()),"Merchant not found")</f>
        <v>North</v>
      </c>
      <c r="M374" s="2" t="n">
        <f aca="false">SUMIFS($F$2:$F$548,$C$2:$C$548,C374,$E$2:$E$548,E374)</f>
        <v>1499</v>
      </c>
      <c r="N374" s="2" t="str">
        <f aca="false">IF(AND(M374&gt;5000,L374&lt;&gt;"East"),"High-Value Merchant Day","No")</f>
        <v>No</v>
      </c>
    </row>
    <row r="375" customFormat="false" ht="15" hidden="false" customHeight="false" outlineLevel="0" collapsed="false">
      <c r="A375" s="2" t="s">
        <v>453</v>
      </c>
      <c r="B375" s="2" t="n">
        <v>143</v>
      </c>
      <c r="C375" s="2" t="n">
        <v>36</v>
      </c>
      <c r="D375" s="9" t="n">
        <v>46038.2604166667</v>
      </c>
      <c r="E375" s="10" t="n">
        <f aca="false">INT(D375)</f>
        <v>46038</v>
      </c>
      <c r="F375" s="2" t="n">
        <v>1499</v>
      </c>
      <c r="G375" s="2" t="s">
        <v>59</v>
      </c>
      <c r="H375" s="2" t="s">
        <v>78</v>
      </c>
      <c r="I375" s="2" t="n">
        <v>38</v>
      </c>
      <c r="J375" s="2" t="str">
        <f aca="false">IFERROR(VLOOKUP($C375,merchants!$A$2:$D$41,2,FALSE()),"Merchant not found")</f>
        <v>Merchant_036</v>
      </c>
      <c r="K375" s="2" t="str">
        <f aca="false">IFERROR(VLOOKUP($C375,merchants!$A$2:$D$41,3,FALSE()),"Merchant not found")</f>
        <v>entertainment</v>
      </c>
      <c r="L375" s="2" t="str">
        <f aca="false">IFERROR(VLOOKUP($C375,merchants!$A$2:$D$41,4,FALSE()),"Merchant not found")</f>
        <v>East</v>
      </c>
      <c r="M375" s="2" t="n">
        <f aca="false">SUMIFS($F$2:$F$548,$C$2:$C$548,C375,$E$2:$E$548,E375)</f>
        <v>1499</v>
      </c>
      <c r="N375" s="2" t="str">
        <f aca="false">IF(AND(M375&gt;5000,L375&lt;&gt;"East"),"High-Value Merchant Day","No")</f>
        <v>No</v>
      </c>
    </row>
    <row r="376" customFormat="false" ht="15" hidden="false" customHeight="false" outlineLevel="0" collapsed="false">
      <c r="A376" s="2" t="s">
        <v>454</v>
      </c>
      <c r="B376" s="2" t="n">
        <v>148</v>
      </c>
      <c r="C376" s="2" t="n">
        <v>14</v>
      </c>
      <c r="D376" s="9" t="n">
        <v>46030.4090277778</v>
      </c>
      <c r="E376" s="10" t="n">
        <f aca="false">INT(D376)</f>
        <v>46030</v>
      </c>
      <c r="F376" s="2" t="n">
        <v>799</v>
      </c>
      <c r="G376" s="2" t="s">
        <v>57</v>
      </c>
      <c r="H376" s="2" t="s">
        <v>78</v>
      </c>
      <c r="I376" s="2" t="n">
        <v>88</v>
      </c>
      <c r="J376" s="2" t="str">
        <f aca="false">IFERROR(VLOOKUP($C376,merchants!$A$2:$D$41,2,FALSE()),"Merchant not found")</f>
        <v>Merchant_014</v>
      </c>
      <c r="K376" s="2" t="str">
        <f aca="false">IFERROR(VLOOKUP($C376,merchants!$A$2:$D$41,3,FALSE()),"Merchant not found")</f>
        <v>grocery</v>
      </c>
      <c r="L376" s="2" t="str">
        <f aca="false">IFERROR(VLOOKUP($C376,merchants!$A$2:$D$41,4,FALSE()),"Merchant not found")</f>
        <v>East</v>
      </c>
      <c r="M376" s="2" t="n">
        <f aca="false">SUMIFS($F$2:$F$548,$C$2:$C$548,C376,$E$2:$E$548,E376)</f>
        <v>799</v>
      </c>
      <c r="N376" s="2" t="str">
        <f aca="false">IF(AND(M376&gt;5000,L376&lt;&gt;"East"),"High-Value Merchant Day","No")</f>
        <v>No</v>
      </c>
    </row>
    <row r="377" customFormat="false" ht="15" hidden="false" customHeight="false" outlineLevel="0" collapsed="false">
      <c r="A377" s="2" t="s">
        <v>455</v>
      </c>
      <c r="B377" s="2" t="n">
        <v>246</v>
      </c>
      <c r="C377" s="2" t="n">
        <v>23</v>
      </c>
      <c r="D377" s="9" t="n">
        <v>46045.6388888889</v>
      </c>
      <c r="E377" s="10" t="n">
        <f aca="false">INT(D377)</f>
        <v>46045</v>
      </c>
      <c r="F377" s="2" t="n">
        <v>49</v>
      </c>
      <c r="G377" s="2" t="s">
        <v>56</v>
      </c>
      <c r="H377" s="2" t="s">
        <v>78</v>
      </c>
      <c r="I377" s="2" t="n">
        <v>71</v>
      </c>
      <c r="J377" s="2" t="str">
        <f aca="false">IFERROR(VLOOKUP($C377,merchants!$A$2:$D$41,2,FALSE()),"Merchant not found")</f>
        <v>Merchant_023</v>
      </c>
      <c r="K377" s="2" t="str">
        <f aca="false">IFERROR(VLOOKUP($C377,merchants!$A$2:$D$41,3,FALSE()),"Merchant not found")</f>
        <v>travel</v>
      </c>
      <c r="L377" s="2" t="str">
        <f aca="false">IFERROR(VLOOKUP($C377,merchants!$A$2:$D$41,4,FALSE()),"Merchant not found")</f>
        <v>North</v>
      </c>
      <c r="M377" s="2" t="n">
        <f aca="false">SUMIFS($F$2:$F$548,$C$2:$C$548,C377,$E$2:$E$548,E377)</f>
        <v>247</v>
      </c>
      <c r="N377" s="2" t="str">
        <f aca="false">IF(AND(M377&gt;5000,L377&lt;&gt;"East"),"High-Value Merchant Day","No")</f>
        <v>No</v>
      </c>
    </row>
    <row r="378" customFormat="false" ht="15" hidden="false" customHeight="false" outlineLevel="0" collapsed="false">
      <c r="A378" s="2" t="s">
        <v>456</v>
      </c>
      <c r="B378" s="2" t="n">
        <v>148</v>
      </c>
      <c r="C378" s="2" t="n">
        <v>8</v>
      </c>
      <c r="D378" s="9" t="n">
        <v>46052.9701388889</v>
      </c>
      <c r="E378" s="10" t="n">
        <f aca="false">INT(D378)</f>
        <v>46052</v>
      </c>
      <c r="F378" s="2" t="n">
        <v>99</v>
      </c>
      <c r="G378" s="2" t="s">
        <v>57</v>
      </c>
      <c r="H378" s="2" t="s">
        <v>78</v>
      </c>
      <c r="I378" s="2" t="n">
        <v>73</v>
      </c>
      <c r="J378" s="2" t="str">
        <f aca="false">IFERROR(VLOOKUP($C378,merchants!$A$2:$D$41,2,FALSE()),"Merchant not found")</f>
        <v>Merchant_008</v>
      </c>
      <c r="K378" s="2" t="str">
        <f aca="false">IFERROR(VLOOKUP($C378,merchants!$A$2:$D$41,3,FALSE()),"Merchant not found")</f>
        <v>food_delivery</v>
      </c>
      <c r="L378" s="2" t="str">
        <f aca="false">IFERROR(VLOOKUP($C378,merchants!$A$2:$D$41,4,FALSE()),"Merchant not found")</f>
        <v>North</v>
      </c>
      <c r="M378" s="2" t="n">
        <f aca="false">SUMIFS($F$2:$F$548,$C$2:$C$548,C378,$E$2:$E$548,E378)</f>
        <v>99</v>
      </c>
      <c r="N378" s="2" t="str">
        <f aca="false">IF(AND(M378&gt;5000,L378&lt;&gt;"East"),"High-Value Merchant Day","No")</f>
        <v>No</v>
      </c>
    </row>
    <row r="379" customFormat="false" ht="15" hidden="false" customHeight="false" outlineLevel="0" collapsed="false">
      <c r="A379" s="2" t="s">
        <v>457</v>
      </c>
      <c r="B379" s="2" t="n">
        <v>203</v>
      </c>
      <c r="C379" s="2" t="n">
        <v>23</v>
      </c>
      <c r="D379" s="9" t="n">
        <v>46044.725</v>
      </c>
      <c r="E379" s="10" t="n">
        <f aca="false">INT(D379)</f>
        <v>46044</v>
      </c>
      <c r="F379" s="2" t="n">
        <v>49</v>
      </c>
      <c r="G379" s="2" t="s">
        <v>56</v>
      </c>
      <c r="H379" s="2" t="s">
        <v>78</v>
      </c>
      <c r="I379" s="2" t="n">
        <v>98</v>
      </c>
      <c r="J379" s="2" t="str">
        <f aca="false">IFERROR(VLOOKUP($C379,merchants!$A$2:$D$41,2,FALSE()),"Merchant not found")</f>
        <v>Merchant_023</v>
      </c>
      <c r="K379" s="2" t="str">
        <f aca="false">IFERROR(VLOOKUP($C379,merchants!$A$2:$D$41,3,FALSE()),"Merchant not found")</f>
        <v>travel</v>
      </c>
      <c r="L379" s="2" t="str">
        <f aca="false">IFERROR(VLOOKUP($C379,merchants!$A$2:$D$41,4,FALSE()),"Merchant not found")</f>
        <v>North</v>
      </c>
      <c r="M379" s="2" t="n">
        <f aca="false">SUMIFS($F$2:$F$548,$C$2:$C$548,C379,$E$2:$E$548,E379)</f>
        <v>49</v>
      </c>
      <c r="N379" s="2" t="str">
        <f aca="false">IF(AND(M379&gt;5000,L379&lt;&gt;"East"),"High-Value Merchant Day","No")</f>
        <v>No</v>
      </c>
    </row>
    <row r="380" customFormat="false" ht="15" hidden="false" customHeight="false" outlineLevel="0" collapsed="false">
      <c r="A380" s="2" t="s">
        <v>458</v>
      </c>
      <c r="B380" s="2" t="n">
        <v>22</v>
      </c>
      <c r="C380" s="2" t="n">
        <v>19</v>
      </c>
      <c r="D380" s="9" t="n">
        <v>46048.1791666667</v>
      </c>
      <c r="E380" s="10" t="n">
        <f aca="false">INT(D380)</f>
        <v>46048</v>
      </c>
      <c r="F380" s="2" t="n">
        <v>49</v>
      </c>
      <c r="G380" s="2" t="s">
        <v>58</v>
      </c>
      <c r="H380" s="2" t="s">
        <v>78</v>
      </c>
      <c r="I380" s="2" t="n">
        <v>91</v>
      </c>
      <c r="J380" s="2" t="str">
        <f aca="false">IFERROR(VLOOKUP($C380,merchants!$A$2:$D$41,2,FALSE()),"Merchant not found")</f>
        <v>Merchant_019</v>
      </c>
      <c r="K380" s="2" t="str">
        <f aca="false">IFERROR(VLOOKUP($C380,merchants!$A$2:$D$41,3,FALSE()),"Merchant not found")</f>
        <v>grocery</v>
      </c>
      <c r="L380" s="2" t="str">
        <f aca="false">IFERROR(VLOOKUP($C380,merchants!$A$2:$D$41,4,FALSE()),"Merchant not found")</f>
        <v>North</v>
      </c>
      <c r="M380" s="2" t="n">
        <f aca="false">SUMIFS($F$2:$F$548,$C$2:$C$548,C380,$E$2:$E$548,E380)</f>
        <v>49</v>
      </c>
      <c r="N380" s="2" t="str">
        <f aca="false">IF(AND(M380&gt;5000,L380&lt;&gt;"East"),"High-Value Merchant Day","No")</f>
        <v>No</v>
      </c>
    </row>
    <row r="381" customFormat="false" ht="15" hidden="false" customHeight="false" outlineLevel="0" collapsed="false">
      <c r="A381" s="2" t="s">
        <v>459</v>
      </c>
      <c r="B381" s="2" t="n">
        <v>227</v>
      </c>
      <c r="C381" s="2" t="n">
        <v>17</v>
      </c>
      <c r="D381" s="9" t="n">
        <v>46025.4993055556</v>
      </c>
      <c r="E381" s="10" t="n">
        <f aca="false">INT(D381)</f>
        <v>46025</v>
      </c>
      <c r="F381" s="2" t="n">
        <v>299</v>
      </c>
      <c r="G381" s="2" t="s">
        <v>57</v>
      </c>
      <c r="H381" s="2" t="s">
        <v>78</v>
      </c>
      <c r="I381" s="2" t="n">
        <v>95</v>
      </c>
      <c r="J381" s="2" t="str">
        <f aca="false">IFERROR(VLOOKUP($C381,merchants!$A$2:$D$41,2,FALSE()),"Merchant not found")</f>
        <v>Merchant_017</v>
      </c>
      <c r="K381" s="2" t="str">
        <f aca="false">IFERROR(VLOOKUP($C381,merchants!$A$2:$D$41,3,FALSE()),"Merchant not found")</f>
        <v>grocery</v>
      </c>
      <c r="L381" s="2" t="str">
        <f aca="false">IFERROR(VLOOKUP($C381,merchants!$A$2:$D$41,4,FALSE()),"Merchant not found")</f>
        <v>North</v>
      </c>
      <c r="M381" s="2" t="n">
        <f aca="false">SUMIFS($F$2:$F$548,$C$2:$C$548,C381,$E$2:$E$548,E381)</f>
        <v>398</v>
      </c>
      <c r="N381" s="2" t="str">
        <f aca="false">IF(AND(M381&gt;5000,L381&lt;&gt;"East"),"High-Value Merchant Day","No")</f>
        <v>No</v>
      </c>
    </row>
    <row r="382" customFormat="false" ht="15" hidden="false" customHeight="false" outlineLevel="0" collapsed="false">
      <c r="A382" s="2" t="s">
        <v>460</v>
      </c>
      <c r="B382" s="2" t="n">
        <v>276</v>
      </c>
      <c r="C382" s="2" t="n">
        <v>18</v>
      </c>
      <c r="D382" s="9" t="n">
        <v>46038.2583333333</v>
      </c>
      <c r="E382" s="10" t="n">
        <f aca="false">INT(D382)</f>
        <v>46038</v>
      </c>
      <c r="F382" s="2" t="n">
        <v>149</v>
      </c>
      <c r="G382" s="2" t="s">
        <v>57</v>
      </c>
      <c r="H382" s="2" t="s">
        <v>78</v>
      </c>
      <c r="I382" s="2" t="n">
        <v>71</v>
      </c>
      <c r="J382" s="2" t="str">
        <f aca="false">IFERROR(VLOOKUP($C382,merchants!$A$2:$D$41,2,FALSE()),"Merchant not found")</f>
        <v>Merchant_018</v>
      </c>
      <c r="K382" s="2" t="str">
        <f aca="false">IFERROR(VLOOKUP($C382,merchants!$A$2:$D$41,3,FALSE()),"Merchant not found")</f>
        <v>grocery</v>
      </c>
      <c r="L382" s="2" t="str">
        <f aca="false">IFERROR(VLOOKUP($C382,merchants!$A$2:$D$41,4,FALSE()),"Merchant not found")</f>
        <v>West</v>
      </c>
      <c r="M382" s="2" t="n">
        <f aca="false">SUMIFS($F$2:$F$548,$C$2:$C$548,C382,$E$2:$E$548,E382)</f>
        <v>3148</v>
      </c>
      <c r="N382" s="2" t="str">
        <f aca="false">IF(AND(M382&gt;5000,L382&lt;&gt;"East"),"High-Value Merchant Day","No")</f>
        <v>No</v>
      </c>
    </row>
    <row r="383" customFormat="false" ht="15" hidden="false" customHeight="false" outlineLevel="0" collapsed="false">
      <c r="A383" s="2" t="s">
        <v>461</v>
      </c>
      <c r="B383" s="2" t="n">
        <v>56</v>
      </c>
      <c r="C383" s="2" t="n">
        <v>40</v>
      </c>
      <c r="D383" s="9" t="n">
        <v>46045.3388888889</v>
      </c>
      <c r="E383" s="10" t="n">
        <f aca="false">INT(D383)</f>
        <v>46045</v>
      </c>
      <c r="F383" s="2" t="n">
        <v>99</v>
      </c>
      <c r="G383" s="2" t="s">
        <v>58</v>
      </c>
      <c r="H383" s="2" t="s">
        <v>78</v>
      </c>
      <c r="I383" s="2" t="n">
        <v>94</v>
      </c>
      <c r="J383" s="2" t="str">
        <f aca="false">IFERROR(VLOOKUP($C383,merchants!$A$2:$D$41,2,FALSE()),"Merchant not found")</f>
        <v>Merchant_040</v>
      </c>
      <c r="K383" s="2" t="str">
        <f aca="false">IFERROR(VLOOKUP($C383,merchants!$A$2:$D$41,3,FALSE()),"Merchant not found")</f>
        <v>entertainment</v>
      </c>
      <c r="L383" s="2" t="str">
        <f aca="false">IFERROR(VLOOKUP($C383,merchants!$A$2:$D$41,4,FALSE()),"Merchant not found")</f>
        <v>South</v>
      </c>
      <c r="M383" s="2" t="n">
        <f aca="false">SUMIFS($F$2:$F$548,$C$2:$C$548,C383,$E$2:$E$548,E383)</f>
        <v>598</v>
      </c>
      <c r="N383" s="2" t="str">
        <f aca="false">IF(AND(M383&gt;5000,L383&lt;&gt;"East"),"High-Value Merchant Day","No")</f>
        <v>No</v>
      </c>
    </row>
    <row r="384" customFormat="false" ht="15" hidden="false" customHeight="false" outlineLevel="0" collapsed="false">
      <c r="A384" s="2" t="s">
        <v>462</v>
      </c>
      <c r="B384" s="2" t="n">
        <v>26</v>
      </c>
      <c r="C384" s="2" t="n">
        <v>34</v>
      </c>
      <c r="D384" s="9" t="n">
        <v>46041.3020833333</v>
      </c>
      <c r="E384" s="10" t="n">
        <f aca="false">INT(D384)</f>
        <v>46041</v>
      </c>
      <c r="F384" s="2" t="n">
        <v>499</v>
      </c>
      <c r="G384" s="2" t="s">
        <v>58</v>
      </c>
      <c r="H384" s="2" t="s">
        <v>78</v>
      </c>
      <c r="I384" s="2" t="n">
        <v>28</v>
      </c>
      <c r="J384" s="2" t="str">
        <f aca="false">IFERROR(VLOOKUP($C384,merchants!$A$2:$D$41,2,FALSE()),"Merchant not found")</f>
        <v>Merchant_034</v>
      </c>
      <c r="K384" s="2" t="str">
        <f aca="false">IFERROR(VLOOKUP($C384,merchants!$A$2:$D$41,3,FALSE()),"Merchant not found")</f>
        <v>travel</v>
      </c>
      <c r="L384" s="2" t="str">
        <f aca="false">IFERROR(VLOOKUP($C384,merchants!$A$2:$D$41,4,FALSE()),"Merchant not found")</f>
        <v>South</v>
      </c>
      <c r="M384" s="2" t="n">
        <f aca="false">SUMIFS($F$2:$F$548,$C$2:$C$548,C384,$E$2:$E$548,E384)</f>
        <v>499</v>
      </c>
      <c r="N384" s="2" t="str">
        <f aca="false">IF(AND(M384&gt;5000,L384&lt;&gt;"East"),"High-Value Merchant Day","No")</f>
        <v>No</v>
      </c>
    </row>
    <row r="385" customFormat="false" ht="15" hidden="false" customHeight="false" outlineLevel="0" collapsed="false">
      <c r="A385" s="2" t="s">
        <v>463</v>
      </c>
      <c r="B385" s="2" t="n">
        <v>52</v>
      </c>
      <c r="C385" s="2" t="n">
        <v>27</v>
      </c>
      <c r="D385" s="9" t="n">
        <v>46043.29375</v>
      </c>
      <c r="E385" s="10" t="n">
        <f aca="false">INT(D385)</f>
        <v>46043</v>
      </c>
      <c r="F385" s="2" t="n">
        <v>499</v>
      </c>
      <c r="G385" s="2" t="s">
        <v>58</v>
      </c>
      <c r="H385" s="2" t="s">
        <v>78</v>
      </c>
      <c r="I385" s="2" t="n">
        <v>42</v>
      </c>
      <c r="J385" s="2" t="str">
        <f aca="false">IFERROR(VLOOKUP($C385,merchants!$A$2:$D$41,2,FALSE()),"Merchant not found")</f>
        <v>Merchant_027</v>
      </c>
      <c r="K385" s="2" t="str">
        <f aca="false">IFERROR(VLOOKUP($C385,merchants!$A$2:$D$41,3,FALSE()),"Merchant not found")</f>
        <v>ecommerce</v>
      </c>
      <c r="L385" s="2" t="str">
        <f aca="false">IFERROR(VLOOKUP($C385,merchants!$A$2:$D$41,4,FALSE()),"Merchant not found")</f>
        <v>North</v>
      </c>
      <c r="M385" s="2" t="n">
        <f aca="false">SUMIFS($F$2:$F$548,$C$2:$C$548,C385,$E$2:$E$548,E385)</f>
        <v>499</v>
      </c>
      <c r="N385" s="2" t="str">
        <f aca="false">IF(AND(M385&gt;5000,L385&lt;&gt;"East"),"High-Value Merchant Day","No")</f>
        <v>No</v>
      </c>
    </row>
    <row r="386" customFormat="false" ht="15" hidden="false" customHeight="false" outlineLevel="0" collapsed="false">
      <c r="A386" s="2" t="s">
        <v>464</v>
      </c>
      <c r="B386" s="2" t="n">
        <v>349</v>
      </c>
      <c r="C386" s="2" t="n">
        <v>9</v>
      </c>
      <c r="D386" s="9" t="n">
        <v>46045.6291666667</v>
      </c>
      <c r="E386" s="10" t="n">
        <f aca="false">INT(D386)</f>
        <v>46045</v>
      </c>
      <c r="F386" s="2" t="n">
        <v>499</v>
      </c>
      <c r="G386" s="2" t="s">
        <v>57</v>
      </c>
      <c r="H386" s="2" t="s">
        <v>78</v>
      </c>
      <c r="I386" s="2" t="n">
        <v>0</v>
      </c>
      <c r="J386" s="2" t="str">
        <f aca="false">IFERROR(VLOOKUP($C386,merchants!$A$2:$D$41,2,FALSE()),"Merchant not found")</f>
        <v>Merchant_009</v>
      </c>
      <c r="K386" s="2" t="str">
        <f aca="false">IFERROR(VLOOKUP($C386,merchants!$A$2:$D$41,3,FALSE()),"Merchant not found")</f>
        <v>ecommerce</v>
      </c>
      <c r="L386" s="2" t="str">
        <f aca="false">IFERROR(VLOOKUP($C386,merchants!$A$2:$D$41,4,FALSE()),"Merchant not found")</f>
        <v>North</v>
      </c>
      <c r="M386" s="2" t="n">
        <f aca="false">SUMIFS($F$2:$F$548,$C$2:$C$548,C386,$E$2:$E$548,E386)</f>
        <v>898</v>
      </c>
      <c r="N386" s="2" t="str">
        <f aca="false">IF(AND(M386&gt;5000,L386&lt;&gt;"East"),"High-Value Merchant Day","No")</f>
        <v>No</v>
      </c>
    </row>
    <row r="387" customFormat="false" ht="15" hidden="false" customHeight="false" outlineLevel="0" collapsed="false">
      <c r="A387" s="2" t="s">
        <v>465</v>
      </c>
      <c r="B387" s="2" t="n">
        <v>335</v>
      </c>
      <c r="C387" s="2" t="n">
        <v>31</v>
      </c>
      <c r="D387" s="9" t="n">
        <v>46040.2263888889</v>
      </c>
      <c r="E387" s="10" t="n">
        <f aca="false">INT(D387)</f>
        <v>46040</v>
      </c>
      <c r="F387" s="2" t="n">
        <v>49</v>
      </c>
      <c r="G387" s="2" t="s">
        <v>58</v>
      </c>
      <c r="H387" s="2" t="s">
        <v>78</v>
      </c>
      <c r="I387" s="2" t="n">
        <v>61</v>
      </c>
      <c r="J387" s="2" t="str">
        <f aca="false">IFERROR(VLOOKUP($C387,merchants!$A$2:$D$41,2,FALSE()),"Merchant not found")</f>
        <v>Merchant_031</v>
      </c>
      <c r="K387" s="2" t="str">
        <f aca="false">IFERROR(VLOOKUP($C387,merchants!$A$2:$D$41,3,FALSE()),"Merchant not found")</f>
        <v>bill_payment</v>
      </c>
      <c r="L387" s="2" t="str">
        <f aca="false">IFERROR(VLOOKUP($C387,merchants!$A$2:$D$41,4,FALSE()),"Merchant not found")</f>
        <v>East</v>
      </c>
      <c r="M387" s="2" t="n">
        <f aca="false">SUMIFS($F$2:$F$548,$C$2:$C$548,C387,$E$2:$E$548,E387)</f>
        <v>49</v>
      </c>
      <c r="N387" s="2" t="str">
        <f aca="false">IF(AND(M387&gt;5000,L387&lt;&gt;"East"),"High-Value Merchant Day","No")</f>
        <v>No</v>
      </c>
    </row>
    <row r="388" customFormat="false" ht="15" hidden="false" customHeight="false" outlineLevel="0" collapsed="false">
      <c r="A388" s="2" t="s">
        <v>466</v>
      </c>
      <c r="B388" s="2" t="n">
        <v>148</v>
      </c>
      <c r="C388" s="2" t="n">
        <v>21</v>
      </c>
      <c r="D388" s="9" t="n">
        <v>46043.2833333333</v>
      </c>
      <c r="E388" s="10" t="n">
        <f aca="false">INT(D388)</f>
        <v>46043</v>
      </c>
      <c r="F388" s="2" t="n">
        <v>49</v>
      </c>
      <c r="G388" s="2" t="s">
        <v>58</v>
      </c>
      <c r="H388" s="2" t="s">
        <v>78</v>
      </c>
      <c r="I388" s="2" t="n">
        <v>36</v>
      </c>
      <c r="J388" s="2" t="str">
        <f aca="false">IFERROR(VLOOKUP($C388,merchants!$A$2:$D$41,2,FALSE()),"Merchant not found")</f>
        <v>Merchant_021</v>
      </c>
      <c r="K388" s="2" t="str">
        <f aca="false">IFERROR(VLOOKUP($C388,merchants!$A$2:$D$41,3,FALSE()),"Merchant not found")</f>
        <v>food_delivery</v>
      </c>
      <c r="L388" s="2" t="str">
        <f aca="false">IFERROR(VLOOKUP($C388,merchants!$A$2:$D$41,4,FALSE()),"Merchant not found")</f>
        <v>East</v>
      </c>
      <c r="M388" s="2" t="n">
        <f aca="false">SUMIFS($F$2:$F$548,$C$2:$C$548,C388,$E$2:$E$548,E388)</f>
        <v>49</v>
      </c>
      <c r="N388" s="2" t="str">
        <f aca="false">IF(AND(M388&gt;5000,L388&lt;&gt;"East"),"High-Value Merchant Day","No")</f>
        <v>No</v>
      </c>
    </row>
    <row r="389" customFormat="false" ht="15" hidden="false" customHeight="false" outlineLevel="0" collapsed="false">
      <c r="A389" s="2" t="s">
        <v>467</v>
      </c>
      <c r="B389" s="2" t="n">
        <v>46</v>
      </c>
      <c r="C389" s="2" t="n">
        <v>37</v>
      </c>
      <c r="D389" s="9" t="n">
        <v>46043.0819444444</v>
      </c>
      <c r="E389" s="10" t="n">
        <f aca="false">INT(D389)</f>
        <v>46043</v>
      </c>
      <c r="F389" s="2" t="n">
        <v>99</v>
      </c>
      <c r="G389" s="2" t="s">
        <v>57</v>
      </c>
      <c r="H389" s="2" t="s">
        <v>78</v>
      </c>
      <c r="I389" s="2" t="n">
        <v>29</v>
      </c>
      <c r="J389" s="2" t="str">
        <f aca="false">IFERROR(VLOOKUP($C389,merchants!$A$2:$D$41,2,FALSE()),"Merchant not found")</f>
        <v>Merchant_037</v>
      </c>
      <c r="K389" s="2" t="str">
        <f aca="false">IFERROR(VLOOKUP($C389,merchants!$A$2:$D$41,3,FALSE()),"Merchant not found")</f>
        <v>entertainment</v>
      </c>
      <c r="L389" s="2" t="str">
        <f aca="false">IFERROR(VLOOKUP($C389,merchants!$A$2:$D$41,4,FALSE()),"Merchant not found")</f>
        <v>South</v>
      </c>
      <c r="M389" s="2" t="n">
        <f aca="false">SUMIFS($F$2:$F$548,$C$2:$C$548,C389,$E$2:$E$548,E389)</f>
        <v>99</v>
      </c>
      <c r="N389" s="2" t="str">
        <f aca="false">IF(AND(M389&gt;5000,L389&lt;&gt;"East"),"High-Value Merchant Day","No")</f>
        <v>No</v>
      </c>
    </row>
    <row r="390" customFormat="false" ht="15" hidden="false" customHeight="false" outlineLevel="0" collapsed="false">
      <c r="A390" s="2" t="s">
        <v>468</v>
      </c>
      <c r="B390" s="2" t="n">
        <v>20</v>
      </c>
      <c r="C390" s="2" t="n">
        <v>12</v>
      </c>
      <c r="D390" s="9" t="n">
        <v>46040.9902777778</v>
      </c>
      <c r="E390" s="10" t="n">
        <f aca="false">INT(D390)</f>
        <v>46040</v>
      </c>
      <c r="F390" s="2" t="n">
        <v>799</v>
      </c>
      <c r="G390" s="2" t="s">
        <v>58</v>
      </c>
      <c r="H390" s="2" t="s">
        <v>78</v>
      </c>
      <c r="I390" s="2" t="n">
        <v>53</v>
      </c>
      <c r="J390" s="2" t="str">
        <f aca="false">IFERROR(VLOOKUP($C390,merchants!$A$2:$D$41,2,FALSE()),"Merchant not found")</f>
        <v>Merchant_012</v>
      </c>
      <c r="K390" s="2" t="str">
        <f aca="false">IFERROR(VLOOKUP($C390,merchants!$A$2:$D$41,3,FALSE()),"Merchant not found")</f>
        <v>ecommerce</v>
      </c>
      <c r="L390" s="2" t="str">
        <f aca="false">IFERROR(VLOOKUP($C390,merchants!$A$2:$D$41,4,FALSE()),"Merchant not found")</f>
        <v>East</v>
      </c>
      <c r="M390" s="2" t="n">
        <f aca="false">SUMIFS($F$2:$F$548,$C$2:$C$548,C390,$E$2:$E$548,E390)</f>
        <v>799</v>
      </c>
      <c r="N390" s="2" t="str">
        <f aca="false">IF(AND(M390&gt;5000,L390&lt;&gt;"East"),"High-Value Merchant Day","No")</f>
        <v>No</v>
      </c>
    </row>
    <row r="391" customFormat="false" ht="15" hidden="false" customHeight="false" outlineLevel="0" collapsed="false">
      <c r="A391" s="2" t="s">
        <v>469</v>
      </c>
      <c r="B391" s="2" t="n">
        <v>19</v>
      </c>
      <c r="C391" s="2" t="n">
        <v>26</v>
      </c>
      <c r="D391" s="9" t="n">
        <v>46051.2493055556</v>
      </c>
      <c r="E391" s="10" t="n">
        <f aca="false">INT(D391)</f>
        <v>46051</v>
      </c>
      <c r="F391" s="2" t="n">
        <v>49</v>
      </c>
      <c r="G391" s="2" t="s">
        <v>56</v>
      </c>
      <c r="H391" s="2" t="s">
        <v>78</v>
      </c>
      <c r="I391" s="2" t="n">
        <v>100</v>
      </c>
      <c r="J391" s="2" t="str">
        <f aca="false">IFERROR(VLOOKUP($C391,merchants!$A$2:$D$41,2,FALSE()),"Merchant not found")</f>
        <v>Merchant_026</v>
      </c>
      <c r="K391" s="2" t="str">
        <f aca="false">IFERROR(VLOOKUP($C391,merchants!$A$2:$D$41,3,FALSE()),"Merchant not found")</f>
        <v>food_delivery</v>
      </c>
      <c r="L391" s="2" t="str">
        <f aca="false">IFERROR(VLOOKUP($C391,merchants!$A$2:$D$41,4,FALSE()),"Merchant not found")</f>
        <v>East</v>
      </c>
      <c r="M391" s="2" t="n">
        <f aca="false">SUMIFS($F$2:$F$548,$C$2:$C$548,C391,$E$2:$E$548,E391)</f>
        <v>148</v>
      </c>
      <c r="N391" s="2" t="str">
        <f aca="false">IF(AND(M391&gt;5000,L391&lt;&gt;"East"),"High-Value Merchant Day","No")</f>
        <v>No</v>
      </c>
    </row>
    <row r="392" customFormat="false" ht="15" hidden="false" customHeight="false" outlineLevel="0" collapsed="false">
      <c r="A392" s="2" t="s">
        <v>470</v>
      </c>
      <c r="B392" s="2" t="n">
        <v>149</v>
      </c>
      <c r="C392" s="2" t="n">
        <v>3</v>
      </c>
      <c r="D392" s="9" t="n">
        <v>46038.2493055556</v>
      </c>
      <c r="E392" s="10" t="n">
        <f aca="false">INT(D392)</f>
        <v>46038</v>
      </c>
      <c r="F392" s="2" t="n">
        <v>4999</v>
      </c>
      <c r="G392" s="2" t="s">
        <v>57</v>
      </c>
      <c r="H392" s="2" t="s">
        <v>78</v>
      </c>
      <c r="I392" s="2" t="n">
        <v>1</v>
      </c>
      <c r="J392" s="2" t="str">
        <f aca="false">IFERROR(VLOOKUP($C392,merchants!$A$2:$D$41,2,FALSE()),"Merchant not found")</f>
        <v>Merchant_003</v>
      </c>
      <c r="K392" s="2" t="str">
        <f aca="false">IFERROR(VLOOKUP($C392,merchants!$A$2:$D$41,3,FALSE()),"Merchant not found")</f>
        <v>grocery</v>
      </c>
      <c r="L392" s="2" t="str">
        <f aca="false">IFERROR(VLOOKUP($C392,merchants!$A$2:$D$41,4,FALSE()),"Merchant not found")</f>
        <v>East</v>
      </c>
      <c r="M392" s="2" t="n">
        <f aca="false">SUMIFS($F$2:$F$548,$C$2:$C$548,C392,$E$2:$E$548,E392)</f>
        <v>4999</v>
      </c>
      <c r="N392" s="2" t="str">
        <f aca="false">IF(AND(M392&gt;5000,L392&lt;&gt;"East"),"High-Value Merchant Day","No")</f>
        <v>No</v>
      </c>
    </row>
    <row r="393" customFormat="false" ht="15" hidden="false" customHeight="false" outlineLevel="0" collapsed="false">
      <c r="A393" s="2" t="s">
        <v>471</v>
      </c>
      <c r="B393" s="2" t="n">
        <v>55</v>
      </c>
      <c r="C393" s="2" t="n">
        <v>22</v>
      </c>
      <c r="D393" s="9" t="n">
        <v>46032.7763888889</v>
      </c>
      <c r="E393" s="10" t="n">
        <f aca="false">INT(D393)</f>
        <v>46032</v>
      </c>
      <c r="F393" s="2" t="n">
        <v>499</v>
      </c>
      <c r="G393" s="2" t="s">
        <v>56</v>
      </c>
      <c r="H393" s="2" t="s">
        <v>78</v>
      </c>
      <c r="I393" s="2" t="n">
        <v>36</v>
      </c>
      <c r="J393" s="2" t="str">
        <f aca="false">IFERROR(VLOOKUP($C393,merchants!$A$2:$D$41,2,FALSE()),"Merchant not found")</f>
        <v>Merchant_022</v>
      </c>
      <c r="K393" s="2" t="str">
        <f aca="false">IFERROR(VLOOKUP($C393,merchants!$A$2:$D$41,3,FALSE()),"Merchant not found")</f>
        <v>travel</v>
      </c>
      <c r="L393" s="2" t="str">
        <f aca="false">IFERROR(VLOOKUP($C393,merchants!$A$2:$D$41,4,FALSE()),"Merchant not found")</f>
        <v>South</v>
      </c>
      <c r="M393" s="2" t="n">
        <f aca="false">SUMIFS($F$2:$F$548,$C$2:$C$548,C393,$E$2:$E$548,E393)</f>
        <v>499</v>
      </c>
      <c r="N393" s="2" t="str">
        <f aca="false">IF(AND(M393&gt;5000,L393&lt;&gt;"East"),"High-Value Merchant Day","No")</f>
        <v>No</v>
      </c>
    </row>
    <row r="394" customFormat="false" ht="15" hidden="false" customHeight="false" outlineLevel="0" collapsed="false">
      <c r="A394" s="2" t="s">
        <v>472</v>
      </c>
      <c r="B394" s="2" t="n">
        <v>269</v>
      </c>
      <c r="C394" s="2" t="n">
        <v>32</v>
      </c>
      <c r="D394" s="9" t="n">
        <v>46037.8569444444</v>
      </c>
      <c r="E394" s="10" t="n">
        <f aca="false">INT(D394)</f>
        <v>46037</v>
      </c>
      <c r="F394" s="2" t="n">
        <v>49</v>
      </c>
      <c r="G394" s="2" t="s">
        <v>58</v>
      </c>
      <c r="H394" s="2" t="s">
        <v>78</v>
      </c>
      <c r="I394" s="2" t="n">
        <v>17</v>
      </c>
      <c r="J394" s="2" t="str">
        <f aca="false">IFERROR(VLOOKUP($C394,merchants!$A$2:$D$41,2,FALSE()),"Merchant not found")</f>
        <v>Merchant_032</v>
      </c>
      <c r="K394" s="2" t="str">
        <f aca="false">IFERROR(VLOOKUP($C394,merchants!$A$2:$D$41,3,FALSE()),"Merchant not found")</f>
        <v>food_delivery</v>
      </c>
      <c r="L394" s="2" t="str">
        <f aca="false">IFERROR(VLOOKUP($C394,merchants!$A$2:$D$41,4,FALSE()),"Merchant not found")</f>
        <v>West</v>
      </c>
      <c r="M394" s="2" t="n">
        <f aca="false">SUMIFS($F$2:$F$548,$C$2:$C$548,C394,$E$2:$E$548,E394)</f>
        <v>148</v>
      </c>
      <c r="N394" s="2" t="str">
        <f aca="false">IF(AND(M394&gt;5000,L394&lt;&gt;"East"),"High-Value Merchant Day","No")</f>
        <v>No</v>
      </c>
    </row>
    <row r="395" customFormat="false" ht="15" hidden="false" customHeight="false" outlineLevel="0" collapsed="false">
      <c r="A395" s="2" t="s">
        <v>473</v>
      </c>
      <c r="B395" s="2" t="n">
        <v>140</v>
      </c>
      <c r="C395" s="2" t="n">
        <v>13</v>
      </c>
      <c r="D395" s="9" t="n">
        <v>46050.6868055556</v>
      </c>
      <c r="E395" s="10" t="n">
        <f aca="false">INT(D395)</f>
        <v>46050</v>
      </c>
      <c r="F395" s="2" t="n">
        <v>2999</v>
      </c>
      <c r="G395" s="2" t="s">
        <v>56</v>
      </c>
      <c r="H395" s="2" t="s">
        <v>78</v>
      </c>
      <c r="I395" s="2" t="n">
        <v>14</v>
      </c>
      <c r="J395" s="2" t="str">
        <f aca="false">IFERROR(VLOOKUP($C395,merchants!$A$2:$D$41,2,FALSE()),"Merchant not found")</f>
        <v>Merchant_013</v>
      </c>
      <c r="K395" s="2" t="str">
        <f aca="false">IFERROR(VLOOKUP($C395,merchants!$A$2:$D$41,3,FALSE()),"Merchant not found")</f>
        <v>travel</v>
      </c>
      <c r="L395" s="2" t="str">
        <f aca="false">IFERROR(VLOOKUP($C395,merchants!$A$2:$D$41,4,FALSE()),"Merchant not found")</f>
        <v>East</v>
      </c>
      <c r="M395" s="2" t="n">
        <f aca="false">SUMIFS($F$2:$F$548,$C$2:$C$548,C395,$E$2:$E$548,E395)</f>
        <v>2999</v>
      </c>
      <c r="N395" s="2" t="str">
        <f aca="false">IF(AND(M395&gt;5000,L395&lt;&gt;"East"),"High-Value Merchant Day","No")</f>
        <v>No</v>
      </c>
    </row>
    <row r="396" customFormat="false" ht="15" hidden="false" customHeight="false" outlineLevel="0" collapsed="false">
      <c r="A396" s="2" t="s">
        <v>474</v>
      </c>
      <c r="B396" s="2" t="n">
        <v>235</v>
      </c>
      <c r="C396" s="2" t="n">
        <v>17</v>
      </c>
      <c r="D396" s="9" t="n">
        <v>46033.2402777778</v>
      </c>
      <c r="E396" s="10" t="n">
        <f aca="false">INT(D396)</f>
        <v>46033</v>
      </c>
      <c r="F396" s="2" t="n">
        <v>2999</v>
      </c>
      <c r="G396" s="2" t="s">
        <v>56</v>
      </c>
      <c r="H396" s="2" t="s">
        <v>78</v>
      </c>
      <c r="I396" s="2" t="n">
        <v>91</v>
      </c>
      <c r="J396" s="2" t="str">
        <f aca="false">IFERROR(VLOOKUP($C396,merchants!$A$2:$D$41,2,FALSE()),"Merchant not found")</f>
        <v>Merchant_017</v>
      </c>
      <c r="K396" s="2" t="str">
        <f aca="false">IFERROR(VLOOKUP($C396,merchants!$A$2:$D$41,3,FALSE()),"Merchant not found")</f>
        <v>grocery</v>
      </c>
      <c r="L396" s="2" t="str">
        <f aca="false">IFERROR(VLOOKUP($C396,merchants!$A$2:$D$41,4,FALSE()),"Merchant not found")</f>
        <v>North</v>
      </c>
      <c r="M396" s="2" t="n">
        <f aca="false">SUMIFS($F$2:$F$548,$C$2:$C$548,C396,$E$2:$E$548,E396)</f>
        <v>7998</v>
      </c>
      <c r="N396" s="2" t="str">
        <f aca="false">IF(AND(M396&gt;5000,L396&lt;&gt;"East"),"High-Value Merchant Day","No")</f>
        <v>High-Value Merchant Day</v>
      </c>
    </row>
    <row r="397" customFormat="false" ht="15" hidden="false" customHeight="false" outlineLevel="0" collapsed="false">
      <c r="A397" s="2" t="s">
        <v>475</v>
      </c>
      <c r="B397" s="2" t="n">
        <v>173</v>
      </c>
      <c r="C397" s="2" t="n">
        <v>19</v>
      </c>
      <c r="D397" s="9" t="n">
        <v>46028.0326388889</v>
      </c>
      <c r="E397" s="10" t="n">
        <f aca="false">INT(D397)</f>
        <v>46028</v>
      </c>
      <c r="F397" s="2" t="n">
        <v>499</v>
      </c>
      <c r="G397" s="2" t="s">
        <v>56</v>
      </c>
      <c r="H397" s="2" t="s">
        <v>90</v>
      </c>
      <c r="I397" s="2" t="n">
        <v>72</v>
      </c>
      <c r="J397" s="2" t="str">
        <f aca="false">IFERROR(VLOOKUP($C397,merchants!$A$2:$D$41,2,FALSE()),"Merchant not found")</f>
        <v>Merchant_019</v>
      </c>
      <c r="K397" s="2" t="str">
        <f aca="false">IFERROR(VLOOKUP($C397,merchants!$A$2:$D$41,3,FALSE()),"Merchant not found")</f>
        <v>grocery</v>
      </c>
      <c r="L397" s="2" t="str">
        <f aca="false">IFERROR(VLOOKUP($C397,merchants!$A$2:$D$41,4,FALSE()),"Merchant not found")</f>
        <v>North</v>
      </c>
      <c r="M397" s="2" t="n">
        <f aca="false">SUMIFS($F$2:$F$548,$C$2:$C$548,C397,$E$2:$E$548,E397)</f>
        <v>499</v>
      </c>
      <c r="N397" s="2" t="str">
        <f aca="false">IF(AND(M397&gt;5000,L397&lt;&gt;"East"),"High-Value Merchant Day","No")</f>
        <v>No</v>
      </c>
    </row>
    <row r="398" customFormat="false" ht="15" hidden="false" customHeight="false" outlineLevel="0" collapsed="false">
      <c r="A398" s="2" t="s">
        <v>476</v>
      </c>
      <c r="B398" s="2" t="n">
        <v>313</v>
      </c>
      <c r="C398" s="2" t="n">
        <v>26</v>
      </c>
      <c r="D398" s="9" t="n">
        <v>46044.2576388889</v>
      </c>
      <c r="E398" s="10" t="n">
        <f aca="false">INT(D398)</f>
        <v>46044</v>
      </c>
      <c r="F398" s="2" t="n">
        <v>499</v>
      </c>
      <c r="G398" s="2" t="s">
        <v>56</v>
      </c>
      <c r="H398" s="2" t="s">
        <v>78</v>
      </c>
      <c r="I398" s="2" t="n">
        <v>54</v>
      </c>
      <c r="J398" s="2" t="str">
        <f aca="false">IFERROR(VLOOKUP($C398,merchants!$A$2:$D$41,2,FALSE()),"Merchant not found")</f>
        <v>Merchant_026</v>
      </c>
      <c r="K398" s="2" t="str">
        <f aca="false">IFERROR(VLOOKUP($C398,merchants!$A$2:$D$41,3,FALSE()),"Merchant not found")</f>
        <v>food_delivery</v>
      </c>
      <c r="L398" s="2" t="str">
        <f aca="false">IFERROR(VLOOKUP($C398,merchants!$A$2:$D$41,4,FALSE()),"Merchant not found")</f>
        <v>East</v>
      </c>
      <c r="M398" s="2" t="n">
        <f aca="false">SUMIFS($F$2:$F$548,$C$2:$C$548,C398,$E$2:$E$548,E398)</f>
        <v>499</v>
      </c>
      <c r="N398" s="2" t="str">
        <f aca="false">IF(AND(M398&gt;5000,L398&lt;&gt;"East"),"High-Value Merchant Day","No")</f>
        <v>No</v>
      </c>
    </row>
    <row r="399" customFormat="false" ht="15" hidden="false" customHeight="false" outlineLevel="0" collapsed="false">
      <c r="A399" s="2" t="s">
        <v>477</v>
      </c>
      <c r="B399" s="2" t="n">
        <v>206</v>
      </c>
      <c r="C399" s="2" t="n">
        <v>7</v>
      </c>
      <c r="D399" s="9" t="n">
        <v>46039.4201388889</v>
      </c>
      <c r="E399" s="10" t="n">
        <f aca="false">INT(D399)</f>
        <v>46039</v>
      </c>
      <c r="F399" s="2" t="n">
        <v>149</v>
      </c>
      <c r="G399" s="2" t="s">
        <v>57</v>
      </c>
      <c r="H399" s="2" t="s">
        <v>78</v>
      </c>
      <c r="I399" s="2" t="n">
        <v>23</v>
      </c>
      <c r="J399" s="2" t="str">
        <f aca="false">IFERROR(VLOOKUP($C399,merchants!$A$2:$D$41,2,FALSE()),"Merchant not found")</f>
        <v>Merchant_007</v>
      </c>
      <c r="K399" s="2" t="str">
        <f aca="false">IFERROR(VLOOKUP($C399,merchants!$A$2:$D$41,3,FALSE()),"Merchant not found")</f>
        <v>food_delivery</v>
      </c>
      <c r="L399" s="2" t="str">
        <f aca="false">IFERROR(VLOOKUP($C399,merchants!$A$2:$D$41,4,FALSE()),"Merchant not found")</f>
        <v>East</v>
      </c>
      <c r="M399" s="2" t="n">
        <f aca="false">SUMIFS($F$2:$F$548,$C$2:$C$548,C399,$E$2:$E$548,E399)</f>
        <v>149</v>
      </c>
      <c r="N399" s="2" t="str">
        <f aca="false">IF(AND(M399&gt;5000,L399&lt;&gt;"East"),"High-Value Merchant Day","No")</f>
        <v>No</v>
      </c>
    </row>
    <row r="400" customFormat="false" ht="15" hidden="false" customHeight="false" outlineLevel="0" collapsed="false">
      <c r="A400" s="2" t="s">
        <v>478</v>
      </c>
      <c r="B400" s="2" t="n">
        <v>128</v>
      </c>
      <c r="C400" s="2" t="n">
        <v>1</v>
      </c>
      <c r="D400" s="9" t="n">
        <v>46027.6388888889</v>
      </c>
      <c r="E400" s="10" t="n">
        <f aca="false">INT(D400)</f>
        <v>46027</v>
      </c>
      <c r="F400" s="2" t="n">
        <v>1499</v>
      </c>
      <c r="G400" s="2" t="s">
        <v>59</v>
      </c>
      <c r="H400" s="2" t="s">
        <v>78</v>
      </c>
      <c r="I400" s="2" t="n">
        <v>33</v>
      </c>
      <c r="J400" s="2" t="str">
        <f aca="false">IFERROR(VLOOKUP($C400,merchants!$A$2:$D$41,2,FALSE()),"Merchant not found")</f>
        <v>Merchant_001</v>
      </c>
      <c r="K400" s="2" t="str">
        <f aca="false">IFERROR(VLOOKUP($C400,merchants!$A$2:$D$41,3,FALSE()),"Merchant not found")</f>
        <v>ecommerce</v>
      </c>
      <c r="L400" s="2" t="str">
        <f aca="false">IFERROR(VLOOKUP($C400,merchants!$A$2:$D$41,4,FALSE()),"Merchant not found")</f>
        <v>South</v>
      </c>
      <c r="M400" s="2" t="n">
        <f aca="false">SUMIFS($F$2:$F$548,$C$2:$C$548,C400,$E$2:$E$548,E400)</f>
        <v>1499</v>
      </c>
      <c r="N400" s="2" t="str">
        <f aca="false">IF(AND(M400&gt;5000,L400&lt;&gt;"East"),"High-Value Merchant Day","No")</f>
        <v>No</v>
      </c>
    </row>
    <row r="401" customFormat="false" ht="15" hidden="false" customHeight="false" outlineLevel="0" collapsed="false">
      <c r="A401" s="2" t="s">
        <v>479</v>
      </c>
      <c r="B401" s="2" t="n">
        <v>137</v>
      </c>
      <c r="C401" s="2" t="n">
        <v>22</v>
      </c>
      <c r="D401" s="9" t="n">
        <v>46035.3111111111</v>
      </c>
      <c r="E401" s="10" t="n">
        <f aca="false">INT(D401)</f>
        <v>46035</v>
      </c>
      <c r="F401" s="2" t="n">
        <v>799</v>
      </c>
      <c r="G401" s="2" t="s">
        <v>56</v>
      </c>
      <c r="H401" s="2" t="s">
        <v>90</v>
      </c>
      <c r="I401" s="2" t="n">
        <v>38</v>
      </c>
      <c r="J401" s="2" t="str">
        <f aca="false">IFERROR(VLOOKUP($C401,merchants!$A$2:$D$41,2,FALSE()),"Merchant not found")</f>
        <v>Merchant_022</v>
      </c>
      <c r="K401" s="2" t="str">
        <f aca="false">IFERROR(VLOOKUP($C401,merchants!$A$2:$D$41,3,FALSE()),"Merchant not found")</f>
        <v>travel</v>
      </c>
      <c r="L401" s="2" t="str">
        <f aca="false">IFERROR(VLOOKUP($C401,merchants!$A$2:$D$41,4,FALSE()),"Merchant not found")</f>
        <v>South</v>
      </c>
      <c r="M401" s="2" t="n">
        <f aca="false">SUMIFS($F$2:$F$548,$C$2:$C$548,C401,$E$2:$E$548,E401)</f>
        <v>5798</v>
      </c>
      <c r="N401" s="2" t="str">
        <f aca="false">IF(AND(M401&gt;5000,L401&lt;&gt;"East"),"High-Value Merchant Day","No")</f>
        <v>High-Value Merchant Day</v>
      </c>
    </row>
    <row r="402" customFormat="false" ht="15" hidden="false" customHeight="false" outlineLevel="0" collapsed="false">
      <c r="A402" s="2" t="s">
        <v>480</v>
      </c>
      <c r="B402" s="2" t="n">
        <v>6</v>
      </c>
      <c r="C402" s="2" t="n">
        <v>17</v>
      </c>
      <c r="D402" s="9" t="n">
        <v>46041.9833333333</v>
      </c>
      <c r="E402" s="10" t="n">
        <f aca="false">INT(D402)</f>
        <v>46041</v>
      </c>
      <c r="F402" s="2" t="n">
        <v>49</v>
      </c>
      <c r="G402" s="2" t="s">
        <v>56</v>
      </c>
      <c r="H402" s="2" t="s">
        <v>78</v>
      </c>
      <c r="I402" s="2" t="n">
        <v>83</v>
      </c>
      <c r="J402" s="2" t="str">
        <f aca="false">IFERROR(VLOOKUP($C402,merchants!$A$2:$D$41,2,FALSE()),"Merchant not found")</f>
        <v>Merchant_017</v>
      </c>
      <c r="K402" s="2" t="str">
        <f aca="false">IFERROR(VLOOKUP($C402,merchants!$A$2:$D$41,3,FALSE()),"Merchant not found")</f>
        <v>grocery</v>
      </c>
      <c r="L402" s="2" t="str">
        <f aca="false">IFERROR(VLOOKUP($C402,merchants!$A$2:$D$41,4,FALSE()),"Merchant not found")</f>
        <v>North</v>
      </c>
      <c r="M402" s="2" t="n">
        <f aca="false">SUMIFS($F$2:$F$548,$C$2:$C$548,C402,$E$2:$E$548,E402)</f>
        <v>49</v>
      </c>
      <c r="N402" s="2" t="str">
        <f aca="false">IF(AND(M402&gt;5000,L402&lt;&gt;"East"),"High-Value Merchant Day","No")</f>
        <v>No</v>
      </c>
    </row>
    <row r="403" customFormat="false" ht="15" hidden="false" customHeight="false" outlineLevel="0" collapsed="false">
      <c r="A403" s="2" t="s">
        <v>481</v>
      </c>
      <c r="B403" s="2" t="n">
        <v>32</v>
      </c>
      <c r="C403" s="2" t="n">
        <v>8</v>
      </c>
      <c r="D403" s="9" t="n">
        <v>46034.9270833333</v>
      </c>
      <c r="E403" s="10" t="n">
        <f aca="false">INT(D403)</f>
        <v>46034</v>
      </c>
      <c r="F403" s="2" t="n">
        <v>299</v>
      </c>
      <c r="G403" s="2" t="s">
        <v>58</v>
      </c>
      <c r="H403" s="2" t="s">
        <v>78</v>
      </c>
      <c r="I403" s="2" t="n">
        <v>59</v>
      </c>
      <c r="J403" s="2" t="str">
        <f aca="false">IFERROR(VLOOKUP($C403,merchants!$A$2:$D$41,2,FALSE()),"Merchant not found")</f>
        <v>Merchant_008</v>
      </c>
      <c r="K403" s="2" t="str">
        <f aca="false">IFERROR(VLOOKUP($C403,merchants!$A$2:$D$41,3,FALSE()),"Merchant not found")</f>
        <v>food_delivery</v>
      </c>
      <c r="L403" s="2" t="str">
        <f aca="false">IFERROR(VLOOKUP($C403,merchants!$A$2:$D$41,4,FALSE()),"Merchant not found")</f>
        <v>North</v>
      </c>
      <c r="M403" s="2" t="n">
        <f aca="false">SUMIFS($F$2:$F$548,$C$2:$C$548,C403,$E$2:$E$548,E403)</f>
        <v>398</v>
      </c>
      <c r="N403" s="2" t="str">
        <f aca="false">IF(AND(M403&gt;5000,L403&lt;&gt;"East"),"High-Value Merchant Day","No")</f>
        <v>No</v>
      </c>
    </row>
    <row r="404" customFormat="false" ht="15" hidden="false" customHeight="false" outlineLevel="0" collapsed="false">
      <c r="A404" s="2" t="s">
        <v>482</v>
      </c>
      <c r="B404" s="2" t="n">
        <v>258</v>
      </c>
      <c r="C404" s="2" t="n">
        <v>20</v>
      </c>
      <c r="D404" s="9" t="n">
        <v>46032.2256944445</v>
      </c>
      <c r="E404" s="10" t="n">
        <f aca="false">INT(D404)</f>
        <v>46032</v>
      </c>
      <c r="F404" s="2" t="n">
        <v>149</v>
      </c>
      <c r="G404" s="2" t="s">
        <v>56</v>
      </c>
      <c r="H404" s="2" t="s">
        <v>78</v>
      </c>
      <c r="I404" s="2" t="n">
        <v>88</v>
      </c>
      <c r="J404" s="2" t="str">
        <f aca="false">IFERROR(VLOOKUP($C404,merchants!$A$2:$D$41,2,FALSE()),"Merchant not found")</f>
        <v>Merchant_020</v>
      </c>
      <c r="K404" s="2" t="str">
        <f aca="false">IFERROR(VLOOKUP($C404,merchants!$A$2:$D$41,3,FALSE()),"Merchant not found")</f>
        <v>food_delivery</v>
      </c>
      <c r="L404" s="2" t="str">
        <f aca="false">IFERROR(VLOOKUP($C404,merchants!$A$2:$D$41,4,FALSE()),"Merchant not found")</f>
        <v>East</v>
      </c>
      <c r="M404" s="2" t="n">
        <f aca="false">SUMIFS($F$2:$F$548,$C$2:$C$548,C404,$E$2:$E$548,E404)</f>
        <v>149</v>
      </c>
      <c r="N404" s="2" t="str">
        <f aca="false">IF(AND(M404&gt;5000,L404&lt;&gt;"East"),"High-Value Merchant Day","No")</f>
        <v>No</v>
      </c>
    </row>
    <row r="405" customFormat="false" ht="15" hidden="false" customHeight="false" outlineLevel="0" collapsed="false">
      <c r="A405" s="2" t="s">
        <v>483</v>
      </c>
      <c r="B405" s="2" t="n">
        <v>152</v>
      </c>
      <c r="C405" s="2" t="n">
        <v>24</v>
      </c>
      <c r="D405" s="9" t="n">
        <v>46026.8736111111</v>
      </c>
      <c r="E405" s="10" t="n">
        <f aca="false">INT(D405)</f>
        <v>46026</v>
      </c>
      <c r="F405" s="2" t="n">
        <v>149</v>
      </c>
      <c r="G405" s="2" t="s">
        <v>56</v>
      </c>
      <c r="H405" s="2" t="s">
        <v>103</v>
      </c>
      <c r="I405" s="2" t="n">
        <v>78</v>
      </c>
      <c r="J405" s="2" t="str">
        <f aca="false">IFERROR(VLOOKUP($C405,merchants!$A$2:$D$41,2,FALSE()),"Merchant not found")</f>
        <v>Merchant_024</v>
      </c>
      <c r="K405" s="2" t="str">
        <f aca="false">IFERROR(VLOOKUP($C405,merchants!$A$2:$D$41,3,FALSE()),"Merchant not found")</f>
        <v>grocery</v>
      </c>
      <c r="L405" s="2" t="str">
        <f aca="false">IFERROR(VLOOKUP($C405,merchants!$A$2:$D$41,4,FALSE()),"Merchant not found")</f>
        <v>North</v>
      </c>
      <c r="M405" s="2" t="n">
        <f aca="false">SUMIFS($F$2:$F$548,$C$2:$C$548,C405,$E$2:$E$548,E405)</f>
        <v>149</v>
      </c>
      <c r="N405" s="2" t="str">
        <f aca="false">IF(AND(M405&gt;5000,L405&lt;&gt;"East"),"High-Value Merchant Day","No")</f>
        <v>No</v>
      </c>
    </row>
    <row r="406" customFormat="false" ht="15" hidden="false" customHeight="false" outlineLevel="0" collapsed="false">
      <c r="A406" s="2" t="s">
        <v>484</v>
      </c>
      <c r="B406" s="2" t="n">
        <v>245</v>
      </c>
      <c r="C406" s="2" t="n">
        <v>10</v>
      </c>
      <c r="D406" s="9" t="n">
        <v>46030.2972222222</v>
      </c>
      <c r="E406" s="10" t="n">
        <f aca="false">INT(D406)</f>
        <v>46030</v>
      </c>
      <c r="F406" s="2" t="n">
        <v>799</v>
      </c>
      <c r="G406" s="2" t="s">
        <v>57</v>
      </c>
      <c r="H406" s="2" t="s">
        <v>78</v>
      </c>
      <c r="I406" s="2" t="n">
        <v>58</v>
      </c>
      <c r="J406" s="2" t="str">
        <f aca="false">IFERROR(VLOOKUP($C406,merchants!$A$2:$D$41,2,FALSE()),"Merchant not found")</f>
        <v>Merchant_010</v>
      </c>
      <c r="K406" s="2" t="str">
        <f aca="false">IFERROR(VLOOKUP($C406,merchants!$A$2:$D$41,3,FALSE()),"Merchant not found")</f>
        <v>grocery</v>
      </c>
      <c r="L406" s="2" t="str">
        <f aca="false">IFERROR(VLOOKUP($C406,merchants!$A$2:$D$41,4,FALSE()),"Merchant not found")</f>
        <v>West</v>
      </c>
      <c r="M406" s="2" t="n">
        <f aca="false">SUMIFS($F$2:$F$548,$C$2:$C$548,C406,$E$2:$E$548,E406)</f>
        <v>799</v>
      </c>
      <c r="N406" s="2" t="str">
        <f aca="false">IF(AND(M406&gt;5000,L406&lt;&gt;"East"),"High-Value Merchant Day","No")</f>
        <v>No</v>
      </c>
    </row>
    <row r="407" customFormat="false" ht="15" hidden="false" customHeight="false" outlineLevel="0" collapsed="false">
      <c r="A407" s="2" t="s">
        <v>485</v>
      </c>
      <c r="B407" s="2" t="n">
        <v>213</v>
      </c>
      <c r="C407" s="2" t="n">
        <v>36</v>
      </c>
      <c r="D407" s="9" t="n">
        <v>46046.8076388889</v>
      </c>
      <c r="E407" s="10" t="n">
        <f aca="false">INT(D407)</f>
        <v>46046</v>
      </c>
      <c r="F407" s="2" t="n">
        <v>49</v>
      </c>
      <c r="G407" s="2" t="s">
        <v>57</v>
      </c>
      <c r="H407" s="2" t="s">
        <v>78</v>
      </c>
      <c r="I407" s="2" t="n">
        <v>60</v>
      </c>
      <c r="J407" s="2" t="str">
        <f aca="false">IFERROR(VLOOKUP($C407,merchants!$A$2:$D$41,2,FALSE()),"Merchant not found")</f>
        <v>Merchant_036</v>
      </c>
      <c r="K407" s="2" t="str">
        <f aca="false">IFERROR(VLOOKUP($C407,merchants!$A$2:$D$41,3,FALSE()),"Merchant not found")</f>
        <v>entertainment</v>
      </c>
      <c r="L407" s="2" t="str">
        <f aca="false">IFERROR(VLOOKUP($C407,merchants!$A$2:$D$41,4,FALSE()),"Merchant not found")</f>
        <v>East</v>
      </c>
      <c r="M407" s="2" t="n">
        <f aca="false">SUMIFS($F$2:$F$548,$C$2:$C$548,C407,$E$2:$E$548,E407)</f>
        <v>1647</v>
      </c>
      <c r="N407" s="2" t="str">
        <f aca="false">IF(AND(M407&gt;5000,L407&lt;&gt;"East"),"High-Value Merchant Day","No")</f>
        <v>No</v>
      </c>
    </row>
    <row r="408" customFormat="false" ht="15" hidden="false" customHeight="false" outlineLevel="0" collapsed="false">
      <c r="A408" s="2" t="s">
        <v>486</v>
      </c>
      <c r="B408" s="2" t="n">
        <v>341</v>
      </c>
      <c r="C408" s="2" t="n">
        <v>14</v>
      </c>
      <c r="D408" s="9" t="n">
        <v>46047.74375</v>
      </c>
      <c r="E408" s="10" t="n">
        <f aca="false">INT(D408)</f>
        <v>46047</v>
      </c>
      <c r="F408" s="2" t="n">
        <v>99</v>
      </c>
      <c r="G408" s="2" t="s">
        <v>59</v>
      </c>
      <c r="H408" s="2" t="s">
        <v>78</v>
      </c>
      <c r="I408" s="2" t="n">
        <v>97</v>
      </c>
      <c r="J408" s="2" t="str">
        <f aca="false">IFERROR(VLOOKUP($C408,merchants!$A$2:$D$41,2,FALSE()),"Merchant not found")</f>
        <v>Merchant_014</v>
      </c>
      <c r="K408" s="2" t="str">
        <f aca="false">IFERROR(VLOOKUP($C408,merchants!$A$2:$D$41,3,FALSE()),"Merchant not found")</f>
        <v>grocery</v>
      </c>
      <c r="L408" s="2" t="str">
        <f aca="false">IFERROR(VLOOKUP($C408,merchants!$A$2:$D$41,4,FALSE()),"Merchant not found")</f>
        <v>East</v>
      </c>
      <c r="M408" s="2" t="n">
        <f aca="false">SUMIFS($F$2:$F$548,$C$2:$C$548,C408,$E$2:$E$548,E408)</f>
        <v>1598</v>
      </c>
      <c r="N408" s="2" t="str">
        <f aca="false">IF(AND(M408&gt;5000,L408&lt;&gt;"East"),"High-Value Merchant Day","No")</f>
        <v>No</v>
      </c>
    </row>
    <row r="409" customFormat="false" ht="15" hidden="false" customHeight="false" outlineLevel="0" collapsed="false">
      <c r="A409" s="2" t="s">
        <v>487</v>
      </c>
      <c r="B409" s="2" t="n">
        <v>306</v>
      </c>
      <c r="C409" s="2" t="n">
        <v>6</v>
      </c>
      <c r="D409" s="9" t="n">
        <v>46030.9083333333</v>
      </c>
      <c r="E409" s="10" t="n">
        <f aca="false">INT(D409)</f>
        <v>46030</v>
      </c>
      <c r="F409" s="2" t="n">
        <v>149</v>
      </c>
      <c r="G409" s="2" t="s">
        <v>59</v>
      </c>
      <c r="H409" s="2" t="s">
        <v>78</v>
      </c>
      <c r="I409" s="2" t="n">
        <v>67</v>
      </c>
      <c r="J409" s="2" t="str">
        <f aca="false">IFERROR(VLOOKUP($C409,merchants!$A$2:$D$41,2,FALSE()),"Merchant not found")</f>
        <v>Merchant_006</v>
      </c>
      <c r="K409" s="2" t="str">
        <f aca="false">IFERROR(VLOOKUP($C409,merchants!$A$2:$D$41,3,FALSE()),"Merchant not found")</f>
        <v>food_delivery</v>
      </c>
      <c r="L409" s="2" t="str">
        <f aca="false">IFERROR(VLOOKUP($C409,merchants!$A$2:$D$41,4,FALSE()),"Merchant not found")</f>
        <v>South</v>
      </c>
      <c r="M409" s="2" t="n">
        <f aca="false">SUMIFS($F$2:$F$548,$C$2:$C$548,C409,$E$2:$E$548,E409)</f>
        <v>149</v>
      </c>
      <c r="N409" s="2" t="str">
        <f aca="false">IF(AND(M409&gt;5000,L409&lt;&gt;"East"),"High-Value Merchant Day","No")</f>
        <v>No</v>
      </c>
    </row>
    <row r="410" customFormat="false" ht="15" hidden="false" customHeight="false" outlineLevel="0" collapsed="false">
      <c r="A410" s="2" t="s">
        <v>488</v>
      </c>
      <c r="B410" s="2" t="n">
        <v>186</v>
      </c>
      <c r="C410" s="2" t="n">
        <v>5</v>
      </c>
      <c r="D410" s="9" t="n">
        <v>46037.6979166667</v>
      </c>
      <c r="E410" s="10" t="n">
        <f aca="false">INT(D410)</f>
        <v>46037</v>
      </c>
      <c r="F410" s="2" t="n">
        <v>499</v>
      </c>
      <c r="G410" s="2" t="s">
        <v>56</v>
      </c>
      <c r="H410" s="2" t="s">
        <v>78</v>
      </c>
      <c r="I410" s="2" t="n">
        <v>72</v>
      </c>
      <c r="J410" s="2" t="str">
        <f aca="false">IFERROR(VLOOKUP($C410,merchants!$A$2:$D$41,2,FALSE()),"Merchant not found")</f>
        <v>Merchant_005</v>
      </c>
      <c r="K410" s="2" t="str">
        <f aca="false">IFERROR(VLOOKUP($C410,merchants!$A$2:$D$41,3,FALSE()),"Merchant not found")</f>
        <v>recharge</v>
      </c>
      <c r="L410" s="2" t="str">
        <f aca="false">IFERROR(VLOOKUP($C410,merchants!$A$2:$D$41,4,FALSE()),"Merchant not found")</f>
        <v>South</v>
      </c>
      <c r="M410" s="2" t="n">
        <f aca="false">SUMIFS($F$2:$F$548,$C$2:$C$548,C410,$E$2:$E$548,E410)</f>
        <v>548</v>
      </c>
      <c r="N410" s="2" t="str">
        <f aca="false">IF(AND(M410&gt;5000,L410&lt;&gt;"East"),"High-Value Merchant Day","No")</f>
        <v>No</v>
      </c>
    </row>
    <row r="411" customFormat="false" ht="15" hidden="false" customHeight="false" outlineLevel="0" collapsed="false">
      <c r="A411" s="2" t="s">
        <v>489</v>
      </c>
      <c r="B411" s="2" t="n">
        <v>281</v>
      </c>
      <c r="C411" s="2" t="n">
        <v>33</v>
      </c>
      <c r="D411" s="9" t="n">
        <v>46026.0784722222</v>
      </c>
      <c r="E411" s="10" t="n">
        <f aca="false">INT(D411)</f>
        <v>46026</v>
      </c>
      <c r="F411" s="2" t="n">
        <v>4999</v>
      </c>
      <c r="G411" s="2" t="s">
        <v>56</v>
      </c>
      <c r="H411" s="2" t="s">
        <v>78</v>
      </c>
      <c r="I411" s="2" t="n">
        <v>25</v>
      </c>
      <c r="J411" s="2" t="str">
        <f aca="false">IFERROR(VLOOKUP($C411,merchants!$A$2:$D$41,2,FALSE()),"Merchant not found")</f>
        <v>Merchant_033</v>
      </c>
      <c r="K411" s="2" t="str">
        <f aca="false">IFERROR(VLOOKUP($C411,merchants!$A$2:$D$41,3,FALSE()),"Merchant not found")</f>
        <v>bill_payment</v>
      </c>
      <c r="L411" s="2" t="str">
        <f aca="false">IFERROR(VLOOKUP($C411,merchants!$A$2:$D$41,4,FALSE()),"Merchant not found")</f>
        <v>East</v>
      </c>
      <c r="M411" s="2" t="n">
        <f aca="false">SUMIFS($F$2:$F$548,$C$2:$C$548,C411,$E$2:$E$548,E411)</f>
        <v>4999</v>
      </c>
      <c r="N411" s="2" t="str">
        <f aca="false">IF(AND(M411&gt;5000,L411&lt;&gt;"East"),"High-Value Merchant Day","No")</f>
        <v>No</v>
      </c>
    </row>
    <row r="412" customFormat="false" ht="15" hidden="false" customHeight="false" outlineLevel="0" collapsed="false">
      <c r="A412" s="2" t="s">
        <v>490</v>
      </c>
      <c r="B412" s="2" t="n">
        <v>85</v>
      </c>
      <c r="C412" s="2" t="n">
        <v>21</v>
      </c>
      <c r="D412" s="9" t="n">
        <v>46041.7145833333</v>
      </c>
      <c r="E412" s="10" t="n">
        <f aca="false">INT(D412)</f>
        <v>46041</v>
      </c>
      <c r="F412" s="2" t="n">
        <v>99</v>
      </c>
      <c r="G412" s="2" t="s">
        <v>56</v>
      </c>
      <c r="H412" s="2" t="s">
        <v>78</v>
      </c>
      <c r="I412" s="2" t="n">
        <v>66</v>
      </c>
      <c r="J412" s="2" t="str">
        <f aca="false">IFERROR(VLOOKUP($C412,merchants!$A$2:$D$41,2,FALSE()),"Merchant not found")</f>
        <v>Merchant_021</v>
      </c>
      <c r="K412" s="2" t="str">
        <f aca="false">IFERROR(VLOOKUP($C412,merchants!$A$2:$D$41,3,FALSE()),"Merchant not found")</f>
        <v>food_delivery</v>
      </c>
      <c r="L412" s="2" t="str">
        <f aca="false">IFERROR(VLOOKUP($C412,merchants!$A$2:$D$41,4,FALSE()),"Merchant not found")</f>
        <v>East</v>
      </c>
      <c r="M412" s="2" t="n">
        <f aca="false">SUMIFS($F$2:$F$548,$C$2:$C$548,C412,$E$2:$E$548,E412)</f>
        <v>99</v>
      </c>
      <c r="N412" s="2" t="str">
        <f aca="false">IF(AND(M412&gt;5000,L412&lt;&gt;"East"),"High-Value Merchant Day","No")</f>
        <v>No</v>
      </c>
    </row>
    <row r="413" customFormat="false" ht="15" hidden="false" customHeight="false" outlineLevel="0" collapsed="false">
      <c r="A413" s="2" t="s">
        <v>491</v>
      </c>
      <c r="B413" s="2" t="n">
        <v>106</v>
      </c>
      <c r="C413" s="2" t="n">
        <v>38</v>
      </c>
      <c r="D413" s="9" t="n">
        <v>46037.1548611111</v>
      </c>
      <c r="E413" s="10" t="n">
        <f aca="false">INT(D413)</f>
        <v>46037</v>
      </c>
      <c r="F413" s="2" t="n">
        <v>499</v>
      </c>
      <c r="G413" s="2" t="s">
        <v>56</v>
      </c>
      <c r="H413" s="2" t="s">
        <v>78</v>
      </c>
      <c r="I413" s="2" t="n">
        <v>62</v>
      </c>
      <c r="J413" s="2" t="str">
        <f aca="false">IFERROR(VLOOKUP($C413,merchants!$A$2:$D$41,2,FALSE()),"Merchant not found")</f>
        <v>Merchant_038</v>
      </c>
      <c r="K413" s="2" t="str">
        <f aca="false">IFERROR(VLOOKUP($C413,merchants!$A$2:$D$41,3,FALSE()),"Merchant not found")</f>
        <v>grocery</v>
      </c>
      <c r="L413" s="2" t="str">
        <f aca="false">IFERROR(VLOOKUP($C413,merchants!$A$2:$D$41,4,FALSE()),"Merchant not found")</f>
        <v>East</v>
      </c>
      <c r="M413" s="2" t="n">
        <f aca="false">SUMIFS($F$2:$F$548,$C$2:$C$548,C413,$E$2:$E$548,E413)</f>
        <v>499</v>
      </c>
      <c r="N413" s="2" t="str">
        <f aca="false">IF(AND(M413&gt;5000,L413&lt;&gt;"East"),"High-Value Merchant Day","No")</f>
        <v>No</v>
      </c>
    </row>
    <row r="414" customFormat="false" ht="15" hidden="false" customHeight="false" outlineLevel="0" collapsed="false">
      <c r="A414" s="2" t="s">
        <v>492</v>
      </c>
      <c r="B414" s="2" t="n">
        <v>29</v>
      </c>
      <c r="C414" s="2" t="n">
        <v>30</v>
      </c>
      <c r="D414" s="9" t="n">
        <v>46025.6861111111</v>
      </c>
      <c r="E414" s="10" t="n">
        <f aca="false">INT(D414)</f>
        <v>46025</v>
      </c>
      <c r="F414" s="2" t="n">
        <v>149</v>
      </c>
      <c r="G414" s="2" t="s">
        <v>59</v>
      </c>
      <c r="H414" s="2" t="s">
        <v>78</v>
      </c>
      <c r="I414" s="2" t="n">
        <v>16</v>
      </c>
      <c r="J414" s="2" t="str">
        <f aca="false">IFERROR(VLOOKUP($C414,merchants!$A$2:$D$41,2,FALSE()),"Merchant not found")</f>
        <v>Merchant_030</v>
      </c>
      <c r="K414" s="2" t="str">
        <f aca="false">IFERROR(VLOOKUP($C414,merchants!$A$2:$D$41,3,FALSE()),"Merchant not found")</f>
        <v>travel</v>
      </c>
      <c r="L414" s="2" t="str">
        <f aca="false">IFERROR(VLOOKUP($C414,merchants!$A$2:$D$41,4,FALSE()),"Merchant not found")</f>
        <v>West</v>
      </c>
      <c r="M414" s="2" t="n">
        <f aca="false">SUMIFS($F$2:$F$548,$C$2:$C$548,C414,$E$2:$E$548,E414)</f>
        <v>149</v>
      </c>
      <c r="N414" s="2" t="str">
        <f aca="false">IF(AND(M414&gt;5000,L414&lt;&gt;"East"),"High-Value Merchant Day","No")</f>
        <v>No</v>
      </c>
    </row>
    <row r="415" customFormat="false" ht="15" hidden="false" customHeight="false" outlineLevel="0" collapsed="false">
      <c r="A415" s="2" t="s">
        <v>493</v>
      </c>
      <c r="B415" s="2" t="n">
        <v>289</v>
      </c>
      <c r="C415" s="2" t="n">
        <v>4</v>
      </c>
      <c r="D415" s="9" t="n">
        <v>46039.5618055556</v>
      </c>
      <c r="E415" s="10" t="n">
        <f aca="false">INT(D415)</f>
        <v>46039</v>
      </c>
      <c r="F415" s="2" t="n">
        <v>1499</v>
      </c>
      <c r="G415" s="2" t="s">
        <v>58</v>
      </c>
      <c r="H415" s="2" t="s">
        <v>78</v>
      </c>
      <c r="I415" s="2" t="n">
        <v>71</v>
      </c>
      <c r="J415" s="2" t="str">
        <f aca="false">IFERROR(VLOOKUP($C415,merchants!$A$2:$D$41,2,FALSE()),"Merchant not found")</f>
        <v>Merchant_004</v>
      </c>
      <c r="K415" s="2" t="str">
        <f aca="false">IFERROR(VLOOKUP($C415,merchants!$A$2:$D$41,3,FALSE()),"Merchant not found")</f>
        <v>ecommerce</v>
      </c>
      <c r="L415" s="2" t="str">
        <f aca="false">IFERROR(VLOOKUP($C415,merchants!$A$2:$D$41,4,FALSE()),"Merchant not found")</f>
        <v>East</v>
      </c>
      <c r="M415" s="2" t="n">
        <f aca="false">SUMIFS($F$2:$F$548,$C$2:$C$548,C415,$E$2:$E$548,E415)</f>
        <v>1499</v>
      </c>
      <c r="N415" s="2" t="str">
        <f aca="false">IF(AND(M415&gt;5000,L415&lt;&gt;"East"),"High-Value Merchant Day","No")</f>
        <v>No</v>
      </c>
    </row>
    <row r="416" customFormat="false" ht="15" hidden="false" customHeight="false" outlineLevel="0" collapsed="false">
      <c r="A416" s="2" t="s">
        <v>494</v>
      </c>
      <c r="B416" s="2" t="n">
        <v>158</v>
      </c>
      <c r="C416" s="2" t="n">
        <v>2</v>
      </c>
      <c r="D416" s="9" t="n">
        <v>46037.9104166667</v>
      </c>
      <c r="E416" s="10" t="n">
        <f aca="false">INT(D416)</f>
        <v>46037</v>
      </c>
      <c r="F416" s="2" t="n">
        <v>1499</v>
      </c>
      <c r="G416" s="2" t="s">
        <v>58</v>
      </c>
      <c r="H416" s="2" t="s">
        <v>78</v>
      </c>
      <c r="I416" s="2" t="n">
        <v>50</v>
      </c>
      <c r="J416" s="2" t="str">
        <f aca="false">IFERROR(VLOOKUP($C416,merchants!$A$2:$D$41,2,FALSE()),"Merchant not found")</f>
        <v>Merchant_002</v>
      </c>
      <c r="K416" s="2" t="str">
        <f aca="false">IFERROR(VLOOKUP($C416,merchants!$A$2:$D$41,3,FALSE()),"Merchant not found")</f>
        <v>grocery</v>
      </c>
      <c r="L416" s="2" t="str">
        <f aca="false">IFERROR(VLOOKUP($C416,merchants!$A$2:$D$41,4,FALSE()),"Merchant not found")</f>
        <v>West</v>
      </c>
      <c r="M416" s="2" t="n">
        <f aca="false">SUMIFS($F$2:$F$548,$C$2:$C$548,C416,$E$2:$E$548,E416)</f>
        <v>1499</v>
      </c>
      <c r="N416" s="2" t="str">
        <f aca="false">IF(AND(M416&gt;5000,L416&lt;&gt;"East"),"High-Value Merchant Day","No")</f>
        <v>No</v>
      </c>
    </row>
    <row r="417" customFormat="false" ht="15" hidden="false" customHeight="false" outlineLevel="0" collapsed="false">
      <c r="A417" s="2" t="s">
        <v>495</v>
      </c>
      <c r="B417" s="2" t="n">
        <v>112</v>
      </c>
      <c r="C417" s="2" t="n">
        <v>38</v>
      </c>
      <c r="D417" s="9" t="n">
        <v>46031.0326388889</v>
      </c>
      <c r="E417" s="10" t="n">
        <f aca="false">INT(D417)</f>
        <v>46031</v>
      </c>
      <c r="F417" s="2" t="n">
        <v>49</v>
      </c>
      <c r="G417" s="2" t="s">
        <v>56</v>
      </c>
      <c r="H417" s="2" t="s">
        <v>78</v>
      </c>
      <c r="I417" s="2" t="n">
        <v>9</v>
      </c>
      <c r="J417" s="2" t="str">
        <f aca="false">IFERROR(VLOOKUP($C417,merchants!$A$2:$D$41,2,FALSE()),"Merchant not found")</f>
        <v>Merchant_038</v>
      </c>
      <c r="K417" s="2" t="str">
        <f aca="false">IFERROR(VLOOKUP($C417,merchants!$A$2:$D$41,3,FALSE()),"Merchant not found")</f>
        <v>grocery</v>
      </c>
      <c r="L417" s="2" t="str">
        <f aca="false">IFERROR(VLOOKUP($C417,merchants!$A$2:$D$41,4,FALSE()),"Merchant not found")</f>
        <v>East</v>
      </c>
      <c r="M417" s="2" t="n">
        <f aca="false">SUMIFS($F$2:$F$548,$C$2:$C$548,C417,$E$2:$E$548,E417)</f>
        <v>348</v>
      </c>
      <c r="N417" s="2" t="str">
        <f aca="false">IF(AND(M417&gt;5000,L417&lt;&gt;"East"),"High-Value Merchant Day","No")</f>
        <v>No</v>
      </c>
    </row>
    <row r="418" customFormat="false" ht="15" hidden="false" customHeight="false" outlineLevel="0" collapsed="false">
      <c r="A418" s="2" t="s">
        <v>496</v>
      </c>
      <c r="B418" s="2" t="n">
        <v>33</v>
      </c>
      <c r="C418" s="2" t="n">
        <v>35</v>
      </c>
      <c r="D418" s="9" t="n">
        <v>46024.5569444444</v>
      </c>
      <c r="E418" s="10" t="n">
        <f aca="false">INT(D418)</f>
        <v>46024</v>
      </c>
      <c r="F418" s="2" t="n">
        <v>299</v>
      </c>
      <c r="G418" s="2" t="s">
        <v>58</v>
      </c>
      <c r="H418" s="2" t="s">
        <v>90</v>
      </c>
      <c r="I418" s="2" t="n">
        <v>7</v>
      </c>
      <c r="J418" s="2" t="str">
        <f aca="false">IFERROR(VLOOKUP($C418,merchants!$A$2:$D$41,2,FALSE()),"Merchant not found")</f>
        <v>Merchant_035</v>
      </c>
      <c r="K418" s="2" t="str">
        <f aca="false">IFERROR(VLOOKUP($C418,merchants!$A$2:$D$41,3,FALSE()),"Merchant not found")</f>
        <v>recharge</v>
      </c>
      <c r="L418" s="2" t="str">
        <f aca="false">IFERROR(VLOOKUP($C418,merchants!$A$2:$D$41,4,FALSE()),"Merchant not found")</f>
        <v>East</v>
      </c>
      <c r="M418" s="2" t="n">
        <f aca="false">SUMIFS($F$2:$F$548,$C$2:$C$548,C418,$E$2:$E$548,E418)</f>
        <v>1847</v>
      </c>
      <c r="N418" s="2" t="str">
        <f aca="false">IF(AND(M418&gt;5000,L418&lt;&gt;"East"),"High-Value Merchant Day","No")</f>
        <v>No</v>
      </c>
    </row>
    <row r="419" customFormat="false" ht="15" hidden="false" customHeight="false" outlineLevel="0" collapsed="false">
      <c r="A419" s="2" t="s">
        <v>497</v>
      </c>
      <c r="B419" s="2" t="n">
        <v>242</v>
      </c>
      <c r="C419" s="2" t="n">
        <v>3</v>
      </c>
      <c r="D419" s="9" t="n">
        <v>46052.1243055556</v>
      </c>
      <c r="E419" s="10" t="n">
        <f aca="false">INT(D419)</f>
        <v>46052</v>
      </c>
      <c r="F419" s="2" t="n">
        <v>49</v>
      </c>
      <c r="G419" s="2" t="s">
        <v>56</v>
      </c>
      <c r="H419" s="2" t="s">
        <v>78</v>
      </c>
      <c r="I419" s="2" t="n">
        <v>36</v>
      </c>
      <c r="J419" s="2" t="str">
        <f aca="false">IFERROR(VLOOKUP($C419,merchants!$A$2:$D$41,2,FALSE()),"Merchant not found")</f>
        <v>Merchant_003</v>
      </c>
      <c r="K419" s="2" t="str">
        <f aca="false">IFERROR(VLOOKUP($C419,merchants!$A$2:$D$41,3,FALSE()),"Merchant not found")</f>
        <v>grocery</v>
      </c>
      <c r="L419" s="2" t="str">
        <f aca="false">IFERROR(VLOOKUP($C419,merchants!$A$2:$D$41,4,FALSE()),"Merchant not found")</f>
        <v>East</v>
      </c>
      <c r="M419" s="2" t="n">
        <f aca="false">SUMIFS($F$2:$F$548,$C$2:$C$548,C419,$E$2:$E$548,E419)</f>
        <v>49</v>
      </c>
      <c r="N419" s="2" t="str">
        <f aca="false">IF(AND(M419&gt;5000,L419&lt;&gt;"East"),"High-Value Merchant Day","No")</f>
        <v>No</v>
      </c>
    </row>
    <row r="420" customFormat="false" ht="15" hidden="false" customHeight="false" outlineLevel="0" collapsed="false">
      <c r="A420" s="2" t="s">
        <v>498</v>
      </c>
      <c r="B420" s="2" t="n">
        <v>70</v>
      </c>
      <c r="C420" s="2" t="n">
        <v>27</v>
      </c>
      <c r="D420" s="9" t="n">
        <v>46036.2423611111</v>
      </c>
      <c r="E420" s="10" t="n">
        <f aca="false">INT(D420)</f>
        <v>46036</v>
      </c>
      <c r="F420" s="2" t="n">
        <v>149</v>
      </c>
      <c r="G420" s="2" t="s">
        <v>56</v>
      </c>
      <c r="H420" s="2" t="s">
        <v>78</v>
      </c>
      <c r="I420" s="2" t="n">
        <v>47</v>
      </c>
      <c r="J420" s="2" t="str">
        <f aca="false">IFERROR(VLOOKUP($C420,merchants!$A$2:$D$41,2,FALSE()),"Merchant not found")</f>
        <v>Merchant_027</v>
      </c>
      <c r="K420" s="2" t="str">
        <f aca="false">IFERROR(VLOOKUP($C420,merchants!$A$2:$D$41,3,FALSE()),"Merchant not found")</f>
        <v>ecommerce</v>
      </c>
      <c r="L420" s="2" t="str">
        <f aca="false">IFERROR(VLOOKUP($C420,merchants!$A$2:$D$41,4,FALSE()),"Merchant not found")</f>
        <v>North</v>
      </c>
      <c r="M420" s="2" t="n">
        <f aca="false">SUMIFS($F$2:$F$548,$C$2:$C$548,C420,$E$2:$E$548,E420)</f>
        <v>149</v>
      </c>
      <c r="N420" s="2" t="str">
        <f aca="false">IF(AND(M420&gt;5000,L420&lt;&gt;"East"),"High-Value Merchant Day","No")</f>
        <v>No</v>
      </c>
    </row>
    <row r="421" customFormat="false" ht="15" hidden="false" customHeight="false" outlineLevel="0" collapsed="false">
      <c r="A421" s="2" t="s">
        <v>499</v>
      </c>
      <c r="B421" s="2" t="n">
        <v>194</v>
      </c>
      <c r="C421" s="2" t="n">
        <v>25</v>
      </c>
      <c r="D421" s="9" t="n">
        <v>46051.5194444444</v>
      </c>
      <c r="E421" s="10" t="n">
        <f aca="false">INT(D421)</f>
        <v>46051</v>
      </c>
      <c r="F421" s="2" t="n">
        <v>49</v>
      </c>
      <c r="G421" s="2" t="s">
        <v>57</v>
      </c>
      <c r="H421" s="2" t="s">
        <v>78</v>
      </c>
      <c r="I421" s="2" t="n">
        <v>10</v>
      </c>
      <c r="J421" s="2" t="str">
        <f aca="false">IFERROR(VLOOKUP($C421,merchants!$A$2:$D$41,2,FALSE()),"Merchant not found")</f>
        <v>Merchant_025</v>
      </c>
      <c r="K421" s="2" t="str">
        <f aca="false">IFERROR(VLOOKUP($C421,merchants!$A$2:$D$41,3,FALSE()),"Merchant not found")</f>
        <v>travel</v>
      </c>
      <c r="L421" s="2" t="str">
        <f aca="false">IFERROR(VLOOKUP($C421,merchants!$A$2:$D$41,4,FALSE()),"Merchant not found")</f>
        <v>South</v>
      </c>
      <c r="M421" s="2" t="n">
        <f aca="false">SUMIFS($F$2:$F$548,$C$2:$C$548,C421,$E$2:$E$548,E421)</f>
        <v>3048</v>
      </c>
      <c r="N421" s="2" t="str">
        <f aca="false">IF(AND(M421&gt;5000,L421&lt;&gt;"East"),"High-Value Merchant Day","No")</f>
        <v>No</v>
      </c>
    </row>
    <row r="422" customFormat="false" ht="15" hidden="false" customHeight="false" outlineLevel="0" collapsed="false">
      <c r="A422" s="2" t="s">
        <v>500</v>
      </c>
      <c r="B422" s="2" t="n">
        <v>277</v>
      </c>
      <c r="C422" s="2" t="n">
        <v>9</v>
      </c>
      <c r="D422" s="9" t="n">
        <v>46044.9131944445</v>
      </c>
      <c r="E422" s="10" t="n">
        <f aca="false">INT(D422)</f>
        <v>46044</v>
      </c>
      <c r="F422" s="2" t="n">
        <v>799</v>
      </c>
      <c r="G422" s="2" t="s">
        <v>56</v>
      </c>
      <c r="H422" s="2" t="s">
        <v>78</v>
      </c>
      <c r="I422" s="2" t="n">
        <v>83</v>
      </c>
      <c r="J422" s="2" t="str">
        <f aca="false">IFERROR(VLOOKUP($C422,merchants!$A$2:$D$41,2,FALSE()),"Merchant not found")</f>
        <v>Merchant_009</v>
      </c>
      <c r="K422" s="2" t="str">
        <f aca="false">IFERROR(VLOOKUP($C422,merchants!$A$2:$D$41,3,FALSE()),"Merchant not found")</f>
        <v>ecommerce</v>
      </c>
      <c r="L422" s="2" t="str">
        <f aca="false">IFERROR(VLOOKUP($C422,merchants!$A$2:$D$41,4,FALSE()),"Merchant not found")</f>
        <v>North</v>
      </c>
      <c r="M422" s="2" t="n">
        <f aca="false">SUMIFS($F$2:$F$548,$C$2:$C$548,C422,$E$2:$E$548,E422)</f>
        <v>1298</v>
      </c>
      <c r="N422" s="2" t="str">
        <f aca="false">IF(AND(M422&gt;5000,L422&lt;&gt;"East"),"High-Value Merchant Day","No")</f>
        <v>No</v>
      </c>
    </row>
    <row r="423" customFormat="false" ht="15" hidden="false" customHeight="false" outlineLevel="0" collapsed="false">
      <c r="A423" s="2" t="s">
        <v>501</v>
      </c>
      <c r="B423" s="2" t="n">
        <v>92</v>
      </c>
      <c r="C423" s="2" t="n">
        <v>35</v>
      </c>
      <c r="D423" s="9" t="n">
        <v>46050.4631944444</v>
      </c>
      <c r="E423" s="10" t="n">
        <f aca="false">INT(D423)</f>
        <v>46050</v>
      </c>
      <c r="F423" s="2" t="n">
        <v>49</v>
      </c>
      <c r="G423" s="2" t="s">
        <v>56</v>
      </c>
      <c r="H423" s="2" t="s">
        <v>78</v>
      </c>
      <c r="I423" s="2" t="n">
        <v>50</v>
      </c>
      <c r="J423" s="2" t="str">
        <f aca="false">IFERROR(VLOOKUP($C423,merchants!$A$2:$D$41,2,FALSE()),"Merchant not found")</f>
        <v>Merchant_035</v>
      </c>
      <c r="K423" s="2" t="str">
        <f aca="false">IFERROR(VLOOKUP($C423,merchants!$A$2:$D$41,3,FALSE()),"Merchant not found")</f>
        <v>recharge</v>
      </c>
      <c r="L423" s="2" t="str">
        <f aca="false">IFERROR(VLOOKUP($C423,merchants!$A$2:$D$41,4,FALSE()),"Merchant not found")</f>
        <v>East</v>
      </c>
      <c r="M423" s="2" t="n">
        <f aca="false">SUMIFS($F$2:$F$548,$C$2:$C$548,C423,$E$2:$E$548,E423)</f>
        <v>49</v>
      </c>
      <c r="N423" s="2" t="str">
        <f aca="false">IF(AND(M423&gt;5000,L423&lt;&gt;"East"),"High-Value Merchant Day","No")</f>
        <v>No</v>
      </c>
    </row>
    <row r="424" customFormat="false" ht="15" hidden="false" customHeight="false" outlineLevel="0" collapsed="false">
      <c r="A424" s="2" t="s">
        <v>502</v>
      </c>
      <c r="B424" s="2" t="n">
        <v>115</v>
      </c>
      <c r="C424" s="2" t="n">
        <v>1</v>
      </c>
      <c r="D424" s="9" t="n">
        <v>46039.1986111111</v>
      </c>
      <c r="E424" s="10" t="n">
        <f aca="false">INT(D424)</f>
        <v>46039</v>
      </c>
      <c r="F424" s="2" t="n">
        <v>149</v>
      </c>
      <c r="G424" s="2" t="s">
        <v>57</v>
      </c>
      <c r="H424" s="2" t="s">
        <v>78</v>
      </c>
      <c r="I424" s="2" t="n">
        <v>96</v>
      </c>
      <c r="J424" s="2" t="str">
        <f aca="false">IFERROR(VLOOKUP($C424,merchants!$A$2:$D$41,2,FALSE()),"Merchant not found")</f>
        <v>Merchant_001</v>
      </c>
      <c r="K424" s="2" t="str">
        <f aca="false">IFERROR(VLOOKUP($C424,merchants!$A$2:$D$41,3,FALSE()),"Merchant not found")</f>
        <v>ecommerce</v>
      </c>
      <c r="L424" s="2" t="str">
        <f aca="false">IFERROR(VLOOKUP($C424,merchants!$A$2:$D$41,4,FALSE()),"Merchant not found")</f>
        <v>South</v>
      </c>
      <c r="M424" s="2" t="n">
        <f aca="false">SUMIFS($F$2:$F$548,$C$2:$C$548,C424,$E$2:$E$548,E424)</f>
        <v>149</v>
      </c>
      <c r="N424" s="2" t="str">
        <f aca="false">IF(AND(M424&gt;5000,L424&lt;&gt;"East"),"High-Value Merchant Day","No")</f>
        <v>No</v>
      </c>
    </row>
    <row r="425" customFormat="false" ht="15" hidden="false" customHeight="false" outlineLevel="0" collapsed="false">
      <c r="A425" s="2" t="s">
        <v>503</v>
      </c>
      <c r="B425" s="2" t="n">
        <v>345</v>
      </c>
      <c r="C425" s="2" t="n">
        <v>35</v>
      </c>
      <c r="D425" s="9" t="n">
        <v>46023.3951388889</v>
      </c>
      <c r="E425" s="10" t="n">
        <f aca="false">INT(D425)</f>
        <v>46023</v>
      </c>
      <c r="F425" s="2" t="n">
        <v>499</v>
      </c>
      <c r="G425" s="2" t="s">
        <v>58</v>
      </c>
      <c r="H425" s="2" t="s">
        <v>78</v>
      </c>
      <c r="I425" s="2" t="n">
        <v>54</v>
      </c>
      <c r="J425" s="2" t="str">
        <f aca="false">IFERROR(VLOOKUP($C425,merchants!$A$2:$D$41,2,FALSE()),"Merchant not found")</f>
        <v>Merchant_035</v>
      </c>
      <c r="K425" s="2" t="str">
        <f aca="false">IFERROR(VLOOKUP($C425,merchants!$A$2:$D$41,3,FALSE()),"Merchant not found")</f>
        <v>recharge</v>
      </c>
      <c r="L425" s="2" t="str">
        <f aca="false">IFERROR(VLOOKUP($C425,merchants!$A$2:$D$41,4,FALSE()),"Merchant not found")</f>
        <v>East</v>
      </c>
      <c r="M425" s="2" t="n">
        <f aca="false">SUMIFS($F$2:$F$548,$C$2:$C$548,C425,$E$2:$E$548,E425)</f>
        <v>798</v>
      </c>
      <c r="N425" s="2" t="str">
        <f aca="false">IF(AND(M425&gt;5000,L425&lt;&gt;"East"),"High-Value Merchant Day","No")</f>
        <v>No</v>
      </c>
    </row>
    <row r="426" customFormat="false" ht="15" hidden="false" customHeight="false" outlineLevel="0" collapsed="false">
      <c r="A426" s="2" t="s">
        <v>504</v>
      </c>
      <c r="B426" s="2" t="n">
        <v>118</v>
      </c>
      <c r="C426" s="2" t="n">
        <v>16</v>
      </c>
      <c r="D426" s="9" t="n">
        <v>46040.5361111111</v>
      </c>
      <c r="E426" s="10" t="n">
        <f aca="false">INT(D426)</f>
        <v>46040</v>
      </c>
      <c r="F426" s="2" t="n">
        <v>49</v>
      </c>
      <c r="G426" s="2" t="s">
        <v>56</v>
      </c>
      <c r="H426" s="2" t="s">
        <v>78</v>
      </c>
      <c r="I426" s="2" t="n">
        <v>58</v>
      </c>
      <c r="J426" s="2" t="str">
        <f aca="false">IFERROR(VLOOKUP($C426,merchants!$A$2:$D$41,2,FALSE()),"Merchant not found")</f>
        <v>Merchant_016</v>
      </c>
      <c r="K426" s="2" t="str">
        <f aca="false">IFERROR(VLOOKUP($C426,merchants!$A$2:$D$41,3,FALSE()),"Merchant not found")</f>
        <v>bill_payment</v>
      </c>
      <c r="L426" s="2" t="str">
        <f aca="false">IFERROR(VLOOKUP($C426,merchants!$A$2:$D$41,4,FALSE()),"Merchant not found")</f>
        <v>West</v>
      </c>
      <c r="M426" s="2" t="n">
        <f aca="false">SUMIFS($F$2:$F$548,$C$2:$C$548,C426,$E$2:$E$548,E426)</f>
        <v>49</v>
      </c>
      <c r="N426" s="2" t="str">
        <f aca="false">IF(AND(M426&gt;5000,L426&lt;&gt;"East"),"High-Value Merchant Day","No")</f>
        <v>No</v>
      </c>
    </row>
    <row r="427" customFormat="false" ht="15" hidden="false" customHeight="false" outlineLevel="0" collapsed="false">
      <c r="A427" s="2" t="s">
        <v>505</v>
      </c>
      <c r="B427" s="2" t="n">
        <v>97</v>
      </c>
      <c r="C427" s="2" t="n">
        <v>8</v>
      </c>
      <c r="D427" s="9" t="n">
        <v>46034.1784722222</v>
      </c>
      <c r="E427" s="10" t="n">
        <f aca="false">INT(D427)</f>
        <v>46034</v>
      </c>
      <c r="F427" s="2" t="n">
        <v>99</v>
      </c>
      <c r="G427" s="2" t="s">
        <v>59</v>
      </c>
      <c r="H427" s="2" t="s">
        <v>78</v>
      </c>
      <c r="I427" s="2" t="n">
        <v>4</v>
      </c>
      <c r="J427" s="2" t="str">
        <f aca="false">IFERROR(VLOOKUP($C427,merchants!$A$2:$D$41,2,FALSE()),"Merchant not found")</f>
        <v>Merchant_008</v>
      </c>
      <c r="K427" s="2" t="str">
        <f aca="false">IFERROR(VLOOKUP($C427,merchants!$A$2:$D$41,3,FALSE()),"Merchant not found")</f>
        <v>food_delivery</v>
      </c>
      <c r="L427" s="2" t="str">
        <f aca="false">IFERROR(VLOOKUP($C427,merchants!$A$2:$D$41,4,FALSE()),"Merchant not found")</f>
        <v>North</v>
      </c>
      <c r="M427" s="2" t="n">
        <f aca="false">SUMIFS($F$2:$F$548,$C$2:$C$548,C427,$E$2:$E$548,E427)</f>
        <v>398</v>
      </c>
      <c r="N427" s="2" t="str">
        <f aca="false">IF(AND(M427&gt;5000,L427&lt;&gt;"East"),"High-Value Merchant Day","No")</f>
        <v>No</v>
      </c>
    </row>
    <row r="428" customFormat="false" ht="15" hidden="false" customHeight="false" outlineLevel="0" collapsed="false">
      <c r="A428" s="2" t="s">
        <v>506</v>
      </c>
      <c r="B428" s="2" t="n">
        <v>315</v>
      </c>
      <c r="C428" s="2" t="n">
        <v>2</v>
      </c>
      <c r="D428" s="9" t="n">
        <v>46048.8930555556</v>
      </c>
      <c r="E428" s="10" t="n">
        <f aca="false">INT(D428)</f>
        <v>46048</v>
      </c>
      <c r="F428" s="2" t="n">
        <v>299</v>
      </c>
      <c r="G428" s="2" t="s">
        <v>57</v>
      </c>
      <c r="H428" s="2" t="s">
        <v>78</v>
      </c>
      <c r="I428" s="2" t="n">
        <v>30</v>
      </c>
      <c r="J428" s="2" t="str">
        <f aca="false">IFERROR(VLOOKUP($C428,merchants!$A$2:$D$41,2,FALSE()),"Merchant not found")</f>
        <v>Merchant_002</v>
      </c>
      <c r="K428" s="2" t="str">
        <f aca="false">IFERROR(VLOOKUP($C428,merchants!$A$2:$D$41,3,FALSE()),"Merchant not found")</f>
        <v>grocery</v>
      </c>
      <c r="L428" s="2" t="str">
        <f aca="false">IFERROR(VLOOKUP($C428,merchants!$A$2:$D$41,4,FALSE()),"Merchant not found")</f>
        <v>West</v>
      </c>
      <c r="M428" s="2" t="n">
        <f aca="false">SUMIFS($F$2:$F$548,$C$2:$C$548,C428,$E$2:$E$548,E428)</f>
        <v>299</v>
      </c>
      <c r="N428" s="2" t="str">
        <f aca="false">IF(AND(M428&gt;5000,L428&lt;&gt;"East"),"High-Value Merchant Day","No")</f>
        <v>No</v>
      </c>
    </row>
    <row r="429" customFormat="false" ht="15" hidden="false" customHeight="false" outlineLevel="0" collapsed="false">
      <c r="A429" s="2" t="s">
        <v>507</v>
      </c>
      <c r="B429" s="2" t="n">
        <v>305</v>
      </c>
      <c r="C429" s="2" t="n">
        <v>3</v>
      </c>
      <c r="D429" s="9" t="n">
        <v>46029.0875</v>
      </c>
      <c r="E429" s="10" t="n">
        <f aca="false">INT(D429)</f>
        <v>46029</v>
      </c>
      <c r="F429" s="2" t="n">
        <v>299</v>
      </c>
      <c r="G429" s="2" t="s">
        <v>56</v>
      </c>
      <c r="H429" s="2" t="s">
        <v>78</v>
      </c>
      <c r="I429" s="2" t="n">
        <v>57</v>
      </c>
      <c r="J429" s="2" t="str">
        <f aca="false">IFERROR(VLOOKUP($C429,merchants!$A$2:$D$41,2,FALSE()),"Merchant not found")</f>
        <v>Merchant_003</v>
      </c>
      <c r="K429" s="2" t="str">
        <f aca="false">IFERROR(VLOOKUP($C429,merchants!$A$2:$D$41,3,FALSE()),"Merchant not found")</f>
        <v>grocery</v>
      </c>
      <c r="L429" s="2" t="str">
        <f aca="false">IFERROR(VLOOKUP($C429,merchants!$A$2:$D$41,4,FALSE()),"Merchant not found")</f>
        <v>East</v>
      </c>
      <c r="M429" s="2" t="n">
        <f aca="false">SUMIFS($F$2:$F$548,$C$2:$C$548,C429,$E$2:$E$548,E429)</f>
        <v>798</v>
      </c>
      <c r="N429" s="2" t="str">
        <f aca="false">IF(AND(M429&gt;5000,L429&lt;&gt;"East"),"High-Value Merchant Day","No")</f>
        <v>No</v>
      </c>
    </row>
    <row r="430" customFormat="false" ht="15" hidden="false" customHeight="false" outlineLevel="0" collapsed="false">
      <c r="A430" s="2" t="s">
        <v>508</v>
      </c>
      <c r="B430" s="2" t="n">
        <v>25</v>
      </c>
      <c r="C430" s="2" t="n">
        <v>16</v>
      </c>
      <c r="D430" s="9" t="n">
        <v>46042.90625</v>
      </c>
      <c r="E430" s="10" t="n">
        <f aca="false">INT(D430)</f>
        <v>46042</v>
      </c>
      <c r="F430" s="2" t="n">
        <v>299</v>
      </c>
      <c r="G430" s="2" t="s">
        <v>56</v>
      </c>
      <c r="H430" s="2" t="s">
        <v>78</v>
      </c>
      <c r="I430" s="2" t="n">
        <v>94</v>
      </c>
      <c r="J430" s="2" t="str">
        <f aca="false">IFERROR(VLOOKUP($C430,merchants!$A$2:$D$41,2,FALSE()),"Merchant not found")</f>
        <v>Merchant_016</v>
      </c>
      <c r="K430" s="2" t="str">
        <f aca="false">IFERROR(VLOOKUP($C430,merchants!$A$2:$D$41,3,FALSE()),"Merchant not found")</f>
        <v>bill_payment</v>
      </c>
      <c r="L430" s="2" t="str">
        <f aca="false">IFERROR(VLOOKUP($C430,merchants!$A$2:$D$41,4,FALSE()),"Merchant not found")</f>
        <v>West</v>
      </c>
      <c r="M430" s="2" t="n">
        <f aca="false">SUMIFS($F$2:$F$548,$C$2:$C$548,C430,$E$2:$E$548,E430)</f>
        <v>448</v>
      </c>
      <c r="N430" s="2" t="str">
        <f aca="false">IF(AND(M430&gt;5000,L430&lt;&gt;"East"),"High-Value Merchant Day","No")</f>
        <v>No</v>
      </c>
    </row>
    <row r="431" customFormat="false" ht="15" hidden="false" customHeight="false" outlineLevel="0" collapsed="false">
      <c r="A431" s="2" t="s">
        <v>509</v>
      </c>
      <c r="B431" s="2" t="n">
        <v>120</v>
      </c>
      <c r="C431" s="2" t="n">
        <v>35</v>
      </c>
      <c r="D431" s="9" t="n">
        <v>46024.5194444444</v>
      </c>
      <c r="E431" s="10" t="n">
        <f aca="false">INT(D431)</f>
        <v>46024</v>
      </c>
      <c r="F431" s="2" t="n">
        <v>49</v>
      </c>
      <c r="G431" s="2" t="s">
        <v>56</v>
      </c>
      <c r="H431" s="2" t="s">
        <v>78</v>
      </c>
      <c r="I431" s="2" t="n">
        <v>27</v>
      </c>
      <c r="J431" s="2" t="str">
        <f aca="false">IFERROR(VLOOKUP($C431,merchants!$A$2:$D$41,2,FALSE()),"Merchant not found")</f>
        <v>Merchant_035</v>
      </c>
      <c r="K431" s="2" t="str">
        <f aca="false">IFERROR(VLOOKUP($C431,merchants!$A$2:$D$41,3,FALSE()),"Merchant not found")</f>
        <v>recharge</v>
      </c>
      <c r="L431" s="2" t="str">
        <f aca="false">IFERROR(VLOOKUP($C431,merchants!$A$2:$D$41,4,FALSE()),"Merchant not found")</f>
        <v>East</v>
      </c>
      <c r="M431" s="2" t="n">
        <f aca="false">SUMIFS($F$2:$F$548,$C$2:$C$548,C431,$E$2:$E$548,E431)</f>
        <v>1847</v>
      </c>
      <c r="N431" s="2" t="str">
        <f aca="false">IF(AND(M431&gt;5000,L431&lt;&gt;"East"),"High-Value Merchant Day","No")</f>
        <v>No</v>
      </c>
    </row>
    <row r="432" customFormat="false" ht="15" hidden="false" customHeight="false" outlineLevel="0" collapsed="false">
      <c r="A432" s="2" t="s">
        <v>510</v>
      </c>
      <c r="B432" s="2" t="n">
        <v>258</v>
      </c>
      <c r="C432" s="2" t="n">
        <v>19</v>
      </c>
      <c r="D432" s="9" t="n">
        <v>46047.0472222222</v>
      </c>
      <c r="E432" s="10" t="n">
        <f aca="false">INT(D432)</f>
        <v>46047</v>
      </c>
      <c r="F432" s="2" t="n">
        <v>49</v>
      </c>
      <c r="G432" s="2" t="s">
        <v>57</v>
      </c>
      <c r="H432" s="2" t="s">
        <v>78</v>
      </c>
      <c r="I432" s="2" t="n">
        <v>29</v>
      </c>
      <c r="J432" s="2" t="str">
        <f aca="false">IFERROR(VLOOKUP($C432,merchants!$A$2:$D$41,2,FALSE()),"Merchant not found")</f>
        <v>Merchant_019</v>
      </c>
      <c r="K432" s="2" t="str">
        <f aca="false">IFERROR(VLOOKUP($C432,merchants!$A$2:$D$41,3,FALSE()),"Merchant not found")</f>
        <v>grocery</v>
      </c>
      <c r="L432" s="2" t="str">
        <f aca="false">IFERROR(VLOOKUP($C432,merchants!$A$2:$D$41,4,FALSE()),"Merchant not found")</f>
        <v>North</v>
      </c>
      <c r="M432" s="2" t="n">
        <f aca="false">SUMIFS($F$2:$F$548,$C$2:$C$548,C432,$E$2:$E$548,E432)</f>
        <v>49</v>
      </c>
      <c r="N432" s="2" t="str">
        <f aca="false">IF(AND(M432&gt;5000,L432&lt;&gt;"East"),"High-Value Merchant Day","No")</f>
        <v>No</v>
      </c>
    </row>
    <row r="433" customFormat="false" ht="15" hidden="false" customHeight="false" outlineLevel="0" collapsed="false">
      <c r="A433" s="2" t="s">
        <v>511</v>
      </c>
      <c r="B433" s="2" t="n">
        <v>164</v>
      </c>
      <c r="C433" s="2" t="n">
        <v>37</v>
      </c>
      <c r="D433" s="9" t="n">
        <v>46049.9833333333</v>
      </c>
      <c r="E433" s="10" t="n">
        <f aca="false">INT(D433)</f>
        <v>46049</v>
      </c>
      <c r="F433" s="2" t="n">
        <v>799</v>
      </c>
      <c r="G433" s="2" t="s">
        <v>56</v>
      </c>
      <c r="H433" s="2" t="s">
        <v>78</v>
      </c>
      <c r="I433" s="2" t="n">
        <v>76</v>
      </c>
      <c r="J433" s="2" t="str">
        <f aca="false">IFERROR(VLOOKUP($C433,merchants!$A$2:$D$41,2,FALSE()),"Merchant not found")</f>
        <v>Merchant_037</v>
      </c>
      <c r="K433" s="2" t="str">
        <f aca="false">IFERROR(VLOOKUP($C433,merchants!$A$2:$D$41,3,FALSE()),"Merchant not found")</f>
        <v>entertainment</v>
      </c>
      <c r="L433" s="2" t="str">
        <f aca="false">IFERROR(VLOOKUP($C433,merchants!$A$2:$D$41,4,FALSE()),"Merchant not found")</f>
        <v>South</v>
      </c>
      <c r="M433" s="2" t="n">
        <f aca="false">SUMIFS($F$2:$F$548,$C$2:$C$548,C433,$E$2:$E$548,E433)</f>
        <v>799</v>
      </c>
      <c r="N433" s="2" t="str">
        <f aca="false">IF(AND(M433&gt;5000,L433&lt;&gt;"East"),"High-Value Merchant Day","No")</f>
        <v>No</v>
      </c>
    </row>
    <row r="434" customFormat="false" ht="15" hidden="false" customHeight="false" outlineLevel="0" collapsed="false">
      <c r="A434" s="2" t="s">
        <v>512</v>
      </c>
      <c r="B434" s="2" t="n">
        <v>165</v>
      </c>
      <c r="C434" s="2" t="n">
        <v>16</v>
      </c>
      <c r="D434" s="9" t="n">
        <v>46047.9111111111</v>
      </c>
      <c r="E434" s="10" t="n">
        <f aca="false">INT(D434)</f>
        <v>46047</v>
      </c>
      <c r="F434" s="2" t="n">
        <v>49</v>
      </c>
      <c r="G434" s="2" t="s">
        <v>57</v>
      </c>
      <c r="H434" s="2" t="s">
        <v>78</v>
      </c>
      <c r="I434" s="2" t="n">
        <v>38</v>
      </c>
      <c r="J434" s="2" t="str">
        <f aca="false">IFERROR(VLOOKUP($C434,merchants!$A$2:$D$41,2,FALSE()),"Merchant not found")</f>
        <v>Merchant_016</v>
      </c>
      <c r="K434" s="2" t="str">
        <f aca="false">IFERROR(VLOOKUP($C434,merchants!$A$2:$D$41,3,FALSE()),"Merchant not found")</f>
        <v>bill_payment</v>
      </c>
      <c r="L434" s="2" t="str">
        <f aca="false">IFERROR(VLOOKUP($C434,merchants!$A$2:$D$41,4,FALSE()),"Merchant not found")</f>
        <v>West</v>
      </c>
      <c r="M434" s="2" t="n">
        <f aca="false">SUMIFS($F$2:$F$548,$C$2:$C$548,C434,$E$2:$E$548,E434)</f>
        <v>98</v>
      </c>
      <c r="N434" s="2" t="str">
        <f aca="false">IF(AND(M434&gt;5000,L434&lt;&gt;"East"),"High-Value Merchant Day","No")</f>
        <v>No</v>
      </c>
    </row>
    <row r="435" customFormat="false" ht="15" hidden="false" customHeight="false" outlineLevel="0" collapsed="false">
      <c r="A435" s="2" t="s">
        <v>513</v>
      </c>
      <c r="B435" s="2" t="n">
        <v>267</v>
      </c>
      <c r="C435" s="2" t="n">
        <v>15</v>
      </c>
      <c r="D435" s="9" t="n">
        <v>46051.1958333333</v>
      </c>
      <c r="E435" s="10" t="n">
        <f aca="false">INT(D435)</f>
        <v>46051</v>
      </c>
      <c r="F435" s="2" t="n">
        <v>49</v>
      </c>
      <c r="G435" s="2" t="s">
        <v>59</v>
      </c>
      <c r="H435" s="2" t="s">
        <v>78</v>
      </c>
      <c r="I435" s="2" t="n">
        <v>52</v>
      </c>
      <c r="J435" s="2" t="str">
        <f aca="false">IFERROR(VLOOKUP($C435,merchants!$A$2:$D$41,2,FALSE()),"Merchant not found")</f>
        <v>Merchant_015</v>
      </c>
      <c r="K435" s="2" t="str">
        <f aca="false">IFERROR(VLOOKUP($C435,merchants!$A$2:$D$41,3,FALSE()),"Merchant not found")</f>
        <v>travel</v>
      </c>
      <c r="L435" s="2" t="str">
        <f aca="false">IFERROR(VLOOKUP($C435,merchants!$A$2:$D$41,4,FALSE()),"Merchant not found")</f>
        <v>North</v>
      </c>
      <c r="M435" s="2" t="n">
        <f aca="false">SUMIFS($F$2:$F$548,$C$2:$C$548,C435,$E$2:$E$548,E435)</f>
        <v>98</v>
      </c>
      <c r="N435" s="2" t="str">
        <f aca="false">IF(AND(M435&gt;5000,L435&lt;&gt;"East"),"High-Value Merchant Day","No")</f>
        <v>No</v>
      </c>
    </row>
    <row r="436" customFormat="false" ht="15" hidden="false" customHeight="false" outlineLevel="0" collapsed="false">
      <c r="A436" s="2" t="s">
        <v>514</v>
      </c>
      <c r="B436" s="2" t="n">
        <v>286</v>
      </c>
      <c r="C436" s="2" t="n">
        <v>38</v>
      </c>
      <c r="D436" s="9" t="n">
        <v>46032.3354166667</v>
      </c>
      <c r="E436" s="10" t="n">
        <f aca="false">INT(D436)</f>
        <v>46032</v>
      </c>
      <c r="F436" s="2" t="n">
        <v>299</v>
      </c>
      <c r="G436" s="2" t="s">
        <v>57</v>
      </c>
      <c r="H436" s="2" t="s">
        <v>78</v>
      </c>
      <c r="I436" s="2" t="n">
        <v>94</v>
      </c>
      <c r="J436" s="2" t="str">
        <f aca="false">IFERROR(VLOOKUP($C436,merchants!$A$2:$D$41,2,FALSE()),"Merchant not found")</f>
        <v>Merchant_038</v>
      </c>
      <c r="K436" s="2" t="str">
        <f aca="false">IFERROR(VLOOKUP($C436,merchants!$A$2:$D$41,3,FALSE()),"Merchant not found")</f>
        <v>grocery</v>
      </c>
      <c r="L436" s="2" t="str">
        <f aca="false">IFERROR(VLOOKUP($C436,merchants!$A$2:$D$41,4,FALSE()),"Merchant not found")</f>
        <v>East</v>
      </c>
      <c r="M436" s="2" t="n">
        <f aca="false">SUMIFS($F$2:$F$548,$C$2:$C$548,C436,$E$2:$E$548,E436)</f>
        <v>398</v>
      </c>
      <c r="N436" s="2" t="str">
        <f aca="false">IF(AND(M436&gt;5000,L436&lt;&gt;"East"),"High-Value Merchant Day","No")</f>
        <v>No</v>
      </c>
    </row>
    <row r="437" customFormat="false" ht="15" hidden="false" customHeight="false" outlineLevel="0" collapsed="false">
      <c r="A437" s="2" t="s">
        <v>515</v>
      </c>
      <c r="B437" s="2" t="n">
        <v>348</v>
      </c>
      <c r="C437" s="2" t="n">
        <v>28</v>
      </c>
      <c r="D437" s="9" t="n">
        <v>46052.2361111111</v>
      </c>
      <c r="E437" s="10" t="n">
        <f aca="false">INT(D437)</f>
        <v>46052</v>
      </c>
      <c r="F437" s="2" t="n">
        <v>499</v>
      </c>
      <c r="G437" s="2" t="s">
        <v>58</v>
      </c>
      <c r="H437" s="2" t="s">
        <v>78</v>
      </c>
      <c r="I437" s="2" t="n">
        <v>71</v>
      </c>
      <c r="J437" s="2" t="str">
        <f aca="false">IFERROR(VLOOKUP($C437,merchants!$A$2:$D$41,2,FALSE()),"Merchant not found")</f>
        <v>Merchant_028</v>
      </c>
      <c r="K437" s="2" t="str">
        <f aca="false">IFERROR(VLOOKUP($C437,merchants!$A$2:$D$41,3,FALSE()),"Merchant not found")</f>
        <v>ecommerce</v>
      </c>
      <c r="L437" s="2" t="str">
        <f aca="false">IFERROR(VLOOKUP($C437,merchants!$A$2:$D$41,4,FALSE()),"Merchant not found")</f>
        <v>South</v>
      </c>
      <c r="M437" s="2" t="n">
        <f aca="false">SUMIFS($F$2:$F$548,$C$2:$C$548,C437,$E$2:$E$548,E437)</f>
        <v>499</v>
      </c>
      <c r="N437" s="2" t="str">
        <f aca="false">IF(AND(M437&gt;5000,L437&lt;&gt;"East"),"High-Value Merchant Day","No")</f>
        <v>No</v>
      </c>
    </row>
    <row r="438" customFormat="false" ht="15" hidden="false" customHeight="false" outlineLevel="0" collapsed="false">
      <c r="A438" s="2" t="s">
        <v>516</v>
      </c>
      <c r="B438" s="2" t="n">
        <v>330</v>
      </c>
      <c r="C438" s="2" t="n">
        <v>25</v>
      </c>
      <c r="D438" s="9" t="n">
        <v>46038.0569444444</v>
      </c>
      <c r="E438" s="10" t="n">
        <f aca="false">INT(D438)</f>
        <v>46038</v>
      </c>
      <c r="F438" s="2" t="n">
        <v>799</v>
      </c>
      <c r="G438" s="2" t="s">
        <v>56</v>
      </c>
      <c r="H438" s="2" t="s">
        <v>78</v>
      </c>
      <c r="I438" s="2" t="n">
        <v>100</v>
      </c>
      <c r="J438" s="2" t="str">
        <f aca="false">IFERROR(VLOOKUP($C438,merchants!$A$2:$D$41,2,FALSE()),"Merchant not found")</f>
        <v>Merchant_025</v>
      </c>
      <c r="K438" s="2" t="str">
        <f aca="false">IFERROR(VLOOKUP($C438,merchants!$A$2:$D$41,3,FALSE()),"Merchant not found")</f>
        <v>travel</v>
      </c>
      <c r="L438" s="2" t="str">
        <f aca="false">IFERROR(VLOOKUP($C438,merchants!$A$2:$D$41,4,FALSE()),"Merchant not found")</f>
        <v>South</v>
      </c>
      <c r="M438" s="2" t="n">
        <f aca="false">SUMIFS($F$2:$F$548,$C$2:$C$548,C438,$E$2:$E$548,E438)</f>
        <v>799</v>
      </c>
      <c r="N438" s="2" t="str">
        <f aca="false">IF(AND(M438&gt;5000,L438&lt;&gt;"East"),"High-Value Merchant Day","No")</f>
        <v>No</v>
      </c>
    </row>
    <row r="439" customFormat="false" ht="15" hidden="false" customHeight="false" outlineLevel="0" collapsed="false">
      <c r="A439" s="2" t="s">
        <v>517</v>
      </c>
      <c r="B439" s="2" t="n">
        <v>214</v>
      </c>
      <c r="C439" s="2" t="n">
        <v>27</v>
      </c>
      <c r="D439" s="9" t="n">
        <v>46039.4472222222</v>
      </c>
      <c r="E439" s="10" t="n">
        <f aca="false">INT(D439)</f>
        <v>46039</v>
      </c>
      <c r="F439" s="2" t="n">
        <v>299</v>
      </c>
      <c r="G439" s="2" t="s">
        <v>58</v>
      </c>
      <c r="H439" s="2" t="s">
        <v>78</v>
      </c>
      <c r="I439" s="2" t="n">
        <v>19</v>
      </c>
      <c r="J439" s="2" t="str">
        <f aca="false">IFERROR(VLOOKUP($C439,merchants!$A$2:$D$41,2,FALSE()),"Merchant not found")</f>
        <v>Merchant_027</v>
      </c>
      <c r="K439" s="2" t="str">
        <f aca="false">IFERROR(VLOOKUP($C439,merchants!$A$2:$D$41,3,FALSE()),"Merchant not found")</f>
        <v>ecommerce</v>
      </c>
      <c r="L439" s="2" t="str">
        <f aca="false">IFERROR(VLOOKUP($C439,merchants!$A$2:$D$41,4,FALSE()),"Merchant not found")</f>
        <v>North</v>
      </c>
      <c r="M439" s="2" t="n">
        <f aca="false">SUMIFS($F$2:$F$548,$C$2:$C$548,C439,$E$2:$E$548,E439)</f>
        <v>1597</v>
      </c>
      <c r="N439" s="2" t="str">
        <f aca="false">IF(AND(M439&gt;5000,L439&lt;&gt;"East"),"High-Value Merchant Day","No")</f>
        <v>No</v>
      </c>
    </row>
    <row r="440" customFormat="false" ht="15" hidden="false" customHeight="false" outlineLevel="0" collapsed="false">
      <c r="A440" s="2" t="s">
        <v>518</v>
      </c>
      <c r="B440" s="2" t="n">
        <v>276</v>
      </c>
      <c r="C440" s="2" t="n">
        <v>31</v>
      </c>
      <c r="D440" s="9" t="n">
        <v>46032.5076388889</v>
      </c>
      <c r="E440" s="10" t="n">
        <f aca="false">INT(D440)</f>
        <v>46032</v>
      </c>
      <c r="F440" s="2" t="n">
        <v>499</v>
      </c>
      <c r="G440" s="2" t="s">
        <v>56</v>
      </c>
      <c r="H440" s="2" t="s">
        <v>78</v>
      </c>
      <c r="I440" s="2" t="n">
        <v>30</v>
      </c>
      <c r="J440" s="2" t="str">
        <f aca="false">IFERROR(VLOOKUP($C440,merchants!$A$2:$D$41,2,FALSE()),"Merchant not found")</f>
        <v>Merchant_031</v>
      </c>
      <c r="K440" s="2" t="str">
        <f aca="false">IFERROR(VLOOKUP($C440,merchants!$A$2:$D$41,3,FALSE()),"Merchant not found")</f>
        <v>bill_payment</v>
      </c>
      <c r="L440" s="2" t="str">
        <f aca="false">IFERROR(VLOOKUP($C440,merchants!$A$2:$D$41,4,FALSE()),"Merchant not found")</f>
        <v>East</v>
      </c>
      <c r="M440" s="2" t="n">
        <f aca="false">SUMIFS($F$2:$F$548,$C$2:$C$548,C440,$E$2:$E$548,E440)</f>
        <v>499</v>
      </c>
      <c r="N440" s="2" t="str">
        <f aca="false">IF(AND(M440&gt;5000,L440&lt;&gt;"East"),"High-Value Merchant Day","No")</f>
        <v>No</v>
      </c>
    </row>
    <row r="441" customFormat="false" ht="15" hidden="false" customHeight="false" outlineLevel="0" collapsed="false">
      <c r="A441" s="2" t="s">
        <v>519</v>
      </c>
      <c r="B441" s="2" t="n">
        <v>74</v>
      </c>
      <c r="C441" s="2" t="n">
        <v>30</v>
      </c>
      <c r="D441" s="9" t="n">
        <v>46050.3048611111</v>
      </c>
      <c r="E441" s="10" t="n">
        <f aca="false">INT(D441)</f>
        <v>46050</v>
      </c>
      <c r="F441" s="2" t="n">
        <v>49</v>
      </c>
      <c r="G441" s="2" t="s">
        <v>56</v>
      </c>
      <c r="H441" s="2" t="s">
        <v>78</v>
      </c>
      <c r="I441" s="2" t="n">
        <v>7</v>
      </c>
      <c r="J441" s="2" t="str">
        <f aca="false">IFERROR(VLOOKUP($C441,merchants!$A$2:$D$41,2,FALSE()),"Merchant not found")</f>
        <v>Merchant_030</v>
      </c>
      <c r="K441" s="2" t="str">
        <f aca="false">IFERROR(VLOOKUP($C441,merchants!$A$2:$D$41,3,FALSE()),"Merchant not found")</f>
        <v>travel</v>
      </c>
      <c r="L441" s="2" t="str">
        <f aca="false">IFERROR(VLOOKUP($C441,merchants!$A$2:$D$41,4,FALSE()),"Merchant not found")</f>
        <v>West</v>
      </c>
      <c r="M441" s="2" t="n">
        <f aca="false">SUMIFS($F$2:$F$548,$C$2:$C$548,C441,$E$2:$E$548,E441)</f>
        <v>49</v>
      </c>
      <c r="N441" s="2" t="str">
        <f aca="false">IF(AND(M441&gt;5000,L441&lt;&gt;"East"),"High-Value Merchant Day","No")</f>
        <v>No</v>
      </c>
    </row>
    <row r="442" customFormat="false" ht="15" hidden="false" customHeight="false" outlineLevel="0" collapsed="false">
      <c r="A442" s="2" t="s">
        <v>520</v>
      </c>
      <c r="B442" s="2" t="n">
        <v>286</v>
      </c>
      <c r="C442" s="2" t="n">
        <v>34</v>
      </c>
      <c r="D442" s="9" t="n">
        <v>46040.5597222222</v>
      </c>
      <c r="E442" s="10" t="n">
        <f aca="false">INT(D442)</f>
        <v>46040</v>
      </c>
      <c r="F442" s="2" t="n">
        <v>49</v>
      </c>
      <c r="G442" s="2" t="s">
        <v>58</v>
      </c>
      <c r="H442" s="2" t="s">
        <v>78</v>
      </c>
      <c r="I442" s="2" t="n">
        <v>17</v>
      </c>
      <c r="J442" s="2" t="str">
        <f aca="false">IFERROR(VLOOKUP($C442,merchants!$A$2:$D$41,2,FALSE()),"Merchant not found")</f>
        <v>Merchant_034</v>
      </c>
      <c r="K442" s="2" t="str">
        <f aca="false">IFERROR(VLOOKUP($C442,merchants!$A$2:$D$41,3,FALSE()),"Merchant not found")</f>
        <v>travel</v>
      </c>
      <c r="L442" s="2" t="str">
        <f aca="false">IFERROR(VLOOKUP($C442,merchants!$A$2:$D$41,4,FALSE()),"Merchant not found")</f>
        <v>South</v>
      </c>
      <c r="M442" s="2" t="n">
        <f aca="false">SUMIFS($F$2:$F$548,$C$2:$C$548,C442,$E$2:$E$548,E442)</f>
        <v>148</v>
      </c>
      <c r="N442" s="2" t="str">
        <f aca="false">IF(AND(M442&gt;5000,L442&lt;&gt;"East"),"High-Value Merchant Day","No")</f>
        <v>No</v>
      </c>
    </row>
    <row r="443" customFormat="false" ht="15" hidden="false" customHeight="false" outlineLevel="0" collapsed="false">
      <c r="A443" s="2" t="s">
        <v>521</v>
      </c>
      <c r="B443" s="2" t="n">
        <v>105</v>
      </c>
      <c r="C443" s="2" t="n">
        <v>22</v>
      </c>
      <c r="D443" s="9" t="n">
        <v>46035.3027777778</v>
      </c>
      <c r="E443" s="10" t="n">
        <f aca="false">INT(D443)</f>
        <v>46035</v>
      </c>
      <c r="F443" s="2" t="n">
        <v>4999</v>
      </c>
      <c r="G443" s="2" t="s">
        <v>56</v>
      </c>
      <c r="H443" s="2" t="s">
        <v>78</v>
      </c>
      <c r="I443" s="2" t="n">
        <v>82</v>
      </c>
      <c r="J443" s="2" t="str">
        <f aca="false">IFERROR(VLOOKUP($C443,merchants!$A$2:$D$41,2,FALSE()),"Merchant not found")</f>
        <v>Merchant_022</v>
      </c>
      <c r="K443" s="2" t="str">
        <f aca="false">IFERROR(VLOOKUP($C443,merchants!$A$2:$D$41,3,FALSE()),"Merchant not found")</f>
        <v>travel</v>
      </c>
      <c r="L443" s="2" t="str">
        <f aca="false">IFERROR(VLOOKUP($C443,merchants!$A$2:$D$41,4,FALSE()),"Merchant not found")</f>
        <v>South</v>
      </c>
      <c r="M443" s="2" t="n">
        <f aca="false">SUMIFS($F$2:$F$548,$C$2:$C$548,C443,$E$2:$E$548,E443)</f>
        <v>5798</v>
      </c>
      <c r="N443" s="2" t="str">
        <f aca="false">IF(AND(M443&gt;5000,L443&lt;&gt;"East"),"High-Value Merchant Day","No")</f>
        <v>High-Value Merchant Day</v>
      </c>
    </row>
    <row r="444" customFormat="false" ht="15" hidden="false" customHeight="false" outlineLevel="0" collapsed="false">
      <c r="A444" s="2" t="s">
        <v>522</v>
      </c>
      <c r="B444" s="2" t="n">
        <v>190</v>
      </c>
      <c r="C444" s="2" t="n">
        <v>6</v>
      </c>
      <c r="D444" s="9" t="n">
        <v>46025.6208333333</v>
      </c>
      <c r="E444" s="10" t="n">
        <f aca="false">INT(D444)</f>
        <v>46025</v>
      </c>
      <c r="F444" s="2" t="n">
        <v>799</v>
      </c>
      <c r="G444" s="2" t="s">
        <v>57</v>
      </c>
      <c r="H444" s="2" t="s">
        <v>78</v>
      </c>
      <c r="I444" s="2" t="n">
        <v>68</v>
      </c>
      <c r="J444" s="2" t="str">
        <f aca="false">IFERROR(VLOOKUP($C444,merchants!$A$2:$D$41,2,FALSE()),"Merchant not found")</f>
        <v>Merchant_006</v>
      </c>
      <c r="K444" s="2" t="str">
        <f aca="false">IFERROR(VLOOKUP($C444,merchants!$A$2:$D$41,3,FALSE()),"Merchant not found")</f>
        <v>food_delivery</v>
      </c>
      <c r="L444" s="2" t="str">
        <f aca="false">IFERROR(VLOOKUP($C444,merchants!$A$2:$D$41,4,FALSE()),"Merchant not found")</f>
        <v>South</v>
      </c>
      <c r="M444" s="2" t="n">
        <f aca="false">SUMIFS($F$2:$F$548,$C$2:$C$548,C444,$E$2:$E$548,E444)</f>
        <v>799</v>
      </c>
      <c r="N444" s="2" t="str">
        <f aca="false">IF(AND(M444&gt;5000,L444&lt;&gt;"East"),"High-Value Merchant Day","No")</f>
        <v>No</v>
      </c>
    </row>
    <row r="445" customFormat="false" ht="15" hidden="false" customHeight="false" outlineLevel="0" collapsed="false">
      <c r="A445" s="2" t="s">
        <v>523</v>
      </c>
      <c r="B445" s="2" t="n">
        <v>138</v>
      </c>
      <c r="C445" s="2" t="n">
        <v>25</v>
      </c>
      <c r="D445" s="9" t="n">
        <v>46046.2520833333</v>
      </c>
      <c r="E445" s="10" t="n">
        <f aca="false">INT(D445)</f>
        <v>46046</v>
      </c>
      <c r="F445" s="2" t="n">
        <v>299</v>
      </c>
      <c r="G445" s="2" t="s">
        <v>57</v>
      </c>
      <c r="H445" s="2" t="s">
        <v>78</v>
      </c>
      <c r="I445" s="2" t="n">
        <v>86</v>
      </c>
      <c r="J445" s="2" t="str">
        <f aca="false">IFERROR(VLOOKUP($C445,merchants!$A$2:$D$41,2,FALSE()),"Merchant not found")</f>
        <v>Merchant_025</v>
      </c>
      <c r="K445" s="2" t="str">
        <f aca="false">IFERROR(VLOOKUP($C445,merchants!$A$2:$D$41,3,FALSE()),"Merchant not found")</f>
        <v>travel</v>
      </c>
      <c r="L445" s="2" t="str">
        <f aca="false">IFERROR(VLOOKUP($C445,merchants!$A$2:$D$41,4,FALSE()),"Merchant not found")</f>
        <v>South</v>
      </c>
      <c r="M445" s="2" t="n">
        <f aca="false">SUMIFS($F$2:$F$548,$C$2:$C$548,C445,$E$2:$E$548,E445)</f>
        <v>497</v>
      </c>
      <c r="N445" s="2" t="str">
        <f aca="false">IF(AND(M445&gt;5000,L445&lt;&gt;"East"),"High-Value Merchant Day","No")</f>
        <v>No</v>
      </c>
    </row>
    <row r="446" customFormat="false" ht="15" hidden="false" customHeight="false" outlineLevel="0" collapsed="false">
      <c r="A446" s="2" t="s">
        <v>524</v>
      </c>
      <c r="B446" s="2" t="n">
        <v>38</v>
      </c>
      <c r="C446" s="2" t="n">
        <v>13</v>
      </c>
      <c r="D446" s="9" t="n">
        <v>46042.7930555556</v>
      </c>
      <c r="E446" s="10" t="n">
        <f aca="false">INT(D446)</f>
        <v>46042</v>
      </c>
      <c r="F446" s="2" t="n">
        <v>4999</v>
      </c>
      <c r="G446" s="2" t="s">
        <v>59</v>
      </c>
      <c r="H446" s="2" t="s">
        <v>78</v>
      </c>
      <c r="I446" s="2" t="n">
        <v>97</v>
      </c>
      <c r="J446" s="2" t="str">
        <f aca="false">IFERROR(VLOOKUP($C446,merchants!$A$2:$D$41,2,FALSE()),"Merchant not found")</f>
        <v>Merchant_013</v>
      </c>
      <c r="K446" s="2" t="str">
        <f aca="false">IFERROR(VLOOKUP($C446,merchants!$A$2:$D$41,3,FALSE()),"Merchant not found")</f>
        <v>travel</v>
      </c>
      <c r="L446" s="2" t="str">
        <f aca="false">IFERROR(VLOOKUP($C446,merchants!$A$2:$D$41,4,FALSE()),"Merchant not found")</f>
        <v>East</v>
      </c>
      <c r="M446" s="2" t="n">
        <f aca="false">SUMIFS($F$2:$F$548,$C$2:$C$548,C446,$E$2:$E$548,E446)</f>
        <v>4999</v>
      </c>
      <c r="N446" s="2" t="str">
        <f aca="false">IF(AND(M446&gt;5000,L446&lt;&gt;"East"),"High-Value Merchant Day","No")</f>
        <v>No</v>
      </c>
    </row>
    <row r="447" customFormat="false" ht="15" hidden="false" customHeight="false" outlineLevel="0" collapsed="false">
      <c r="A447" s="2" t="s">
        <v>525</v>
      </c>
      <c r="B447" s="2" t="n">
        <v>287</v>
      </c>
      <c r="C447" s="2" t="n">
        <v>14</v>
      </c>
      <c r="D447" s="9" t="n">
        <v>46041.9875</v>
      </c>
      <c r="E447" s="10" t="n">
        <f aca="false">INT(D447)</f>
        <v>46041</v>
      </c>
      <c r="F447" s="2" t="n">
        <v>99</v>
      </c>
      <c r="G447" s="2" t="s">
        <v>57</v>
      </c>
      <c r="H447" s="2" t="s">
        <v>78</v>
      </c>
      <c r="I447" s="2" t="n">
        <v>61</v>
      </c>
      <c r="J447" s="2" t="str">
        <f aca="false">IFERROR(VLOOKUP($C447,merchants!$A$2:$D$41,2,FALSE()),"Merchant not found")</f>
        <v>Merchant_014</v>
      </c>
      <c r="K447" s="2" t="str">
        <f aca="false">IFERROR(VLOOKUP($C447,merchants!$A$2:$D$41,3,FALSE()),"Merchant not found")</f>
        <v>grocery</v>
      </c>
      <c r="L447" s="2" t="str">
        <f aca="false">IFERROR(VLOOKUP($C447,merchants!$A$2:$D$41,4,FALSE()),"Merchant not found")</f>
        <v>East</v>
      </c>
      <c r="M447" s="2" t="n">
        <f aca="false">SUMIFS($F$2:$F$548,$C$2:$C$548,C447,$E$2:$E$548,E447)</f>
        <v>99</v>
      </c>
      <c r="N447" s="2" t="str">
        <f aca="false">IF(AND(M447&gt;5000,L447&lt;&gt;"East"),"High-Value Merchant Day","No")</f>
        <v>No</v>
      </c>
    </row>
    <row r="448" customFormat="false" ht="15" hidden="false" customHeight="false" outlineLevel="0" collapsed="false">
      <c r="A448" s="2" t="s">
        <v>526</v>
      </c>
      <c r="B448" s="2" t="n">
        <v>8</v>
      </c>
      <c r="C448" s="2" t="n">
        <v>14</v>
      </c>
      <c r="D448" s="9" t="n">
        <v>46029.4298611111</v>
      </c>
      <c r="E448" s="10" t="n">
        <f aca="false">INT(D448)</f>
        <v>46029</v>
      </c>
      <c r="F448" s="2" t="n">
        <v>49</v>
      </c>
      <c r="G448" s="2" t="s">
        <v>56</v>
      </c>
      <c r="H448" s="2" t="s">
        <v>78</v>
      </c>
      <c r="I448" s="2" t="n">
        <v>24</v>
      </c>
      <c r="J448" s="2" t="str">
        <f aca="false">IFERROR(VLOOKUP($C448,merchants!$A$2:$D$41,2,FALSE()),"Merchant not found")</f>
        <v>Merchant_014</v>
      </c>
      <c r="K448" s="2" t="str">
        <f aca="false">IFERROR(VLOOKUP($C448,merchants!$A$2:$D$41,3,FALSE()),"Merchant not found")</f>
        <v>grocery</v>
      </c>
      <c r="L448" s="2" t="str">
        <f aca="false">IFERROR(VLOOKUP($C448,merchants!$A$2:$D$41,4,FALSE()),"Merchant not found")</f>
        <v>East</v>
      </c>
      <c r="M448" s="2" t="n">
        <f aca="false">SUMIFS($F$2:$F$548,$C$2:$C$548,C448,$E$2:$E$548,E448)</f>
        <v>49</v>
      </c>
      <c r="N448" s="2" t="str">
        <f aca="false">IF(AND(M448&gt;5000,L448&lt;&gt;"East"),"High-Value Merchant Day","No")</f>
        <v>No</v>
      </c>
    </row>
    <row r="449" customFormat="false" ht="15" hidden="false" customHeight="false" outlineLevel="0" collapsed="false">
      <c r="A449" s="2" t="s">
        <v>527</v>
      </c>
      <c r="B449" s="2" t="n">
        <v>246</v>
      </c>
      <c r="C449" s="2" t="n">
        <v>16</v>
      </c>
      <c r="D449" s="9" t="n">
        <v>46046.1576388889</v>
      </c>
      <c r="E449" s="10" t="n">
        <f aca="false">INT(D449)</f>
        <v>46046</v>
      </c>
      <c r="F449" s="2" t="n">
        <v>1499</v>
      </c>
      <c r="G449" s="2" t="s">
        <v>57</v>
      </c>
      <c r="H449" s="2" t="s">
        <v>78</v>
      </c>
      <c r="I449" s="2" t="n">
        <v>89</v>
      </c>
      <c r="J449" s="2" t="str">
        <f aca="false">IFERROR(VLOOKUP($C449,merchants!$A$2:$D$41,2,FALSE()),"Merchant not found")</f>
        <v>Merchant_016</v>
      </c>
      <c r="K449" s="2" t="str">
        <f aca="false">IFERROR(VLOOKUP($C449,merchants!$A$2:$D$41,3,FALSE()),"Merchant not found")</f>
        <v>bill_payment</v>
      </c>
      <c r="L449" s="2" t="str">
        <f aca="false">IFERROR(VLOOKUP($C449,merchants!$A$2:$D$41,4,FALSE()),"Merchant not found")</f>
        <v>West</v>
      </c>
      <c r="M449" s="2" t="n">
        <f aca="false">SUMIFS($F$2:$F$548,$C$2:$C$548,C449,$E$2:$E$548,E449)</f>
        <v>1548</v>
      </c>
      <c r="N449" s="2" t="str">
        <f aca="false">IF(AND(M449&gt;5000,L449&lt;&gt;"East"),"High-Value Merchant Day","No")</f>
        <v>No</v>
      </c>
    </row>
    <row r="450" customFormat="false" ht="15" hidden="false" customHeight="false" outlineLevel="0" collapsed="false">
      <c r="A450" s="2" t="s">
        <v>528</v>
      </c>
      <c r="B450" s="2" t="n">
        <v>204</v>
      </c>
      <c r="C450" s="2" t="n">
        <v>16</v>
      </c>
      <c r="D450" s="9" t="n">
        <v>46042.9256944444</v>
      </c>
      <c r="E450" s="10" t="n">
        <f aca="false">INT(D450)</f>
        <v>46042</v>
      </c>
      <c r="F450" s="2" t="n">
        <v>149</v>
      </c>
      <c r="G450" s="2" t="s">
        <v>56</v>
      </c>
      <c r="H450" s="2" t="s">
        <v>78</v>
      </c>
      <c r="I450" s="2" t="n">
        <v>70</v>
      </c>
      <c r="J450" s="2" t="str">
        <f aca="false">IFERROR(VLOOKUP($C450,merchants!$A$2:$D$41,2,FALSE()),"Merchant not found")</f>
        <v>Merchant_016</v>
      </c>
      <c r="K450" s="2" t="str">
        <f aca="false">IFERROR(VLOOKUP($C450,merchants!$A$2:$D$41,3,FALSE()),"Merchant not found")</f>
        <v>bill_payment</v>
      </c>
      <c r="L450" s="2" t="str">
        <f aca="false">IFERROR(VLOOKUP($C450,merchants!$A$2:$D$41,4,FALSE()),"Merchant not found")</f>
        <v>West</v>
      </c>
      <c r="M450" s="2" t="n">
        <f aca="false">SUMIFS($F$2:$F$548,$C$2:$C$548,C450,$E$2:$E$548,E450)</f>
        <v>448</v>
      </c>
      <c r="N450" s="2" t="str">
        <f aca="false">IF(AND(M450&gt;5000,L450&lt;&gt;"East"),"High-Value Merchant Day","No")</f>
        <v>No</v>
      </c>
    </row>
    <row r="451" customFormat="false" ht="15" hidden="false" customHeight="false" outlineLevel="0" collapsed="false">
      <c r="A451" s="2" t="s">
        <v>529</v>
      </c>
      <c r="B451" s="2" t="n">
        <v>239</v>
      </c>
      <c r="C451" s="2" t="n">
        <v>35</v>
      </c>
      <c r="D451" s="9" t="n">
        <v>46033.3916666667</v>
      </c>
      <c r="E451" s="10" t="n">
        <f aca="false">INT(D451)</f>
        <v>46033</v>
      </c>
      <c r="F451" s="2" t="n">
        <v>4999</v>
      </c>
      <c r="G451" s="2" t="s">
        <v>56</v>
      </c>
      <c r="H451" s="2" t="s">
        <v>78</v>
      </c>
      <c r="I451" s="2" t="n">
        <v>83</v>
      </c>
      <c r="J451" s="2" t="str">
        <f aca="false">IFERROR(VLOOKUP($C451,merchants!$A$2:$D$41,2,FALSE()),"Merchant not found")</f>
        <v>Merchant_035</v>
      </c>
      <c r="K451" s="2" t="str">
        <f aca="false">IFERROR(VLOOKUP($C451,merchants!$A$2:$D$41,3,FALSE()),"Merchant not found")</f>
        <v>recharge</v>
      </c>
      <c r="L451" s="2" t="str">
        <f aca="false">IFERROR(VLOOKUP($C451,merchants!$A$2:$D$41,4,FALSE()),"Merchant not found")</f>
        <v>East</v>
      </c>
      <c r="M451" s="2" t="n">
        <f aca="false">SUMIFS($F$2:$F$548,$C$2:$C$548,C451,$E$2:$E$548,E451)</f>
        <v>4999</v>
      </c>
      <c r="N451" s="2" t="str">
        <f aca="false">IF(AND(M451&gt;5000,L451&lt;&gt;"East"),"High-Value Merchant Day","No")</f>
        <v>No</v>
      </c>
    </row>
    <row r="452" customFormat="false" ht="15" hidden="false" customHeight="false" outlineLevel="0" collapsed="false">
      <c r="A452" s="2" t="s">
        <v>530</v>
      </c>
      <c r="B452" s="2" t="n">
        <v>185</v>
      </c>
      <c r="C452" s="2" t="n">
        <v>33</v>
      </c>
      <c r="D452" s="9" t="n">
        <v>46034.3861111111</v>
      </c>
      <c r="E452" s="10" t="n">
        <f aca="false">INT(D452)</f>
        <v>46034</v>
      </c>
      <c r="F452" s="2" t="n">
        <v>299</v>
      </c>
      <c r="G452" s="2" t="s">
        <v>56</v>
      </c>
      <c r="H452" s="2" t="s">
        <v>78</v>
      </c>
      <c r="I452" s="2" t="n">
        <v>63</v>
      </c>
      <c r="J452" s="2" t="str">
        <f aca="false">IFERROR(VLOOKUP($C452,merchants!$A$2:$D$41,2,FALSE()),"Merchant not found")</f>
        <v>Merchant_033</v>
      </c>
      <c r="K452" s="2" t="str">
        <f aca="false">IFERROR(VLOOKUP($C452,merchants!$A$2:$D$41,3,FALSE()),"Merchant not found")</f>
        <v>bill_payment</v>
      </c>
      <c r="L452" s="2" t="str">
        <f aca="false">IFERROR(VLOOKUP($C452,merchants!$A$2:$D$41,4,FALSE()),"Merchant not found")</f>
        <v>East</v>
      </c>
      <c r="M452" s="2" t="n">
        <f aca="false">SUMIFS($F$2:$F$548,$C$2:$C$548,C452,$E$2:$E$548,E452)</f>
        <v>299</v>
      </c>
      <c r="N452" s="2" t="str">
        <f aca="false">IF(AND(M452&gt;5000,L452&lt;&gt;"East"),"High-Value Merchant Day","No")</f>
        <v>No</v>
      </c>
    </row>
    <row r="453" customFormat="false" ht="15" hidden="false" customHeight="false" outlineLevel="0" collapsed="false">
      <c r="A453" s="2" t="s">
        <v>531</v>
      </c>
      <c r="B453" s="2" t="n">
        <v>241</v>
      </c>
      <c r="C453" s="2" t="n">
        <v>21</v>
      </c>
      <c r="D453" s="9" t="n">
        <v>46037.1604166667</v>
      </c>
      <c r="E453" s="10" t="n">
        <f aca="false">INT(D453)</f>
        <v>46037</v>
      </c>
      <c r="F453" s="2" t="n">
        <v>299</v>
      </c>
      <c r="G453" s="2" t="s">
        <v>58</v>
      </c>
      <c r="H453" s="2" t="s">
        <v>78</v>
      </c>
      <c r="I453" s="2" t="n">
        <v>26</v>
      </c>
      <c r="J453" s="2" t="str">
        <f aca="false">IFERROR(VLOOKUP($C453,merchants!$A$2:$D$41,2,FALSE()),"Merchant not found")</f>
        <v>Merchant_021</v>
      </c>
      <c r="K453" s="2" t="str">
        <f aca="false">IFERROR(VLOOKUP($C453,merchants!$A$2:$D$41,3,FALSE()),"Merchant not found")</f>
        <v>food_delivery</v>
      </c>
      <c r="L453" s="2" t="str">
        <f aca="false">IFERROR(VLOOKUP($C453,merchants!$A$2:$D$41,4,FALSE()),"Merchant not found")</f>
        <v>East</v>
      </c>
      <c r="M453" s="2" t="n">
        <f aca="false">SUMIFS($F$2:$F$548,$C$2:$C$548,C453,$E$2:$E$548,E453)</f>
        <v>299</v>
      </c>
      <c r="N453" s="2" t="str">
        <f aca="false">IF(AND(M453&gt;5000,L453&lt;&gt;"East"),"High-Value Merchant Day","No")</f>
        <v>No</v>
      </c>
    </row>
    <row r="454" customFormat="false" ht="15" hidden="false" customHeight="false" outlineLevel="0" collapsed="false">
      <c r="A454" s="2" t="s">
        <v>532</v>
      </c>
      <c r="B454" s="2" t="n">
        <v>24</v>
      </c>
      <c r="C454" s="2" t="n">
        <v>37</v>
      </c>
      <c r="D454" s="9" t="n">
        <v>46034.4347222222</v>
      </c>
      <c r="E454" s="10" t="n">
        <f aca="false">INT(D454)</f>
        <v>46034</v>
      </c>
      <c r="F454" s="2" t="n">
        <v>149</v>
      </c>
      <c r="G454" s="2" t="s">
        <v>56</v>
      </c>
      <c r="H454" s="2" t="s">
        <v>78</v>
      </c>
      <c r="I454" s="2" t="n">
        <v>28</v>
      </c>
      <c r="J454" s="2" t="str">
        <f aca="false">IFERROR(VLOOKUP($C454,merchants!$A$2:$D$41,2,FALSE()),"Merchant not found")</f>
        <v>Merchant_037</v>
      </c>
      <c r="K454" s="2" t="str">
        <f aca="false">IFERROR(VLOOKUP($C454,merchants!$A$2:$D$41,3,FALSE()),"Merchant not found")</f>
        <v>entertainment</v>
      </c>
      <c r="L454" s="2" t="str">
        <f aca="false">IFERROR(VLOOKUP($C454,merchants!$A$2:$D$41,4,FALSE()),"Merchant not found")</f>
        <v>South</v>
      </c>
      <c r="M454" s="2" t="n">
        <f aca="false">SUMIFS($F$2:$F$548,$C$2:$C$548,C454,$E$2:$E$548,E454)</f>
        <v>149</v>
      </c>
      <c r="N454" s="2" t="str">
        <f aca="false">IF(AND(M454&gt;5000,L454&lt;&gt;"East"),"High-Value Merchant Day","No")</f>
        <v>No</v>
      </c>
    </row>
    <row r="455" customFormat="false" ht="15" hidden="false" customHeight="false" outlineLevel="0" collapsed="false">
      <c r="A455" s="2" t="s">
        <v>533</v>
      </c>
      <c r="B455" s="2" t="n">
        <v>134</v>
      </c>
      <c r="C455" s="2" t="n">
        <v>36</v>
      </c>
      <c r="D455" s="9" t="n">
        <v>46046.1673611111</v>
      </c>
      <c r="E455" s="10" t="n">
        <f aca="false">INT(D455)</f>
        <v>46046</v>
      </c>
      <c r="F455" s="2" t="n">
        <v>1499</v>
      </c>
      <c r="G455" s="2" t="s">
        <v>56</v>
      </c>
      <c r="H455" s="2" t="s">
        <v>78</v>
      </c>
      <c r="I455" s="2" t="n">
        <v>74</v>
      </c>
      <c r="J455" s="2" t="str">
        <f aca="false">IFERROR(VLOOKUP($C455,merchants!$A$2:$D$41,2,FALSE()),"Merchant not found")</f>
        <v>Merchant_036</v>
      </c>
      <c r="K455" s="2" t="str">
        <f aca="false">IFERROR(VLOOKUP($C455,merchants!$A$2:$D$41,3,FALSE()),"Merchant not found")</f>
        <v>entertainment</v>
      </c>
      <c r="L455" s="2" t="str">
        <f aca="false">IFERROR(VLOOKUP($C455,merchants!$A$2:$D$41,4,FALSE()),"Merchant not found")</f>
        <v>East</v>
      </c>
      <c r="M455" s="2" t="n">
        <f aca="false">SUMIFS($F$2:$F$548,$C$2:$C$548,C455,$E$2:$E$548,E455)</f>
        <v>1647</v>
      </c>
      <c r="N455" s="2" t="str">
        <f aca="false">IF(AND(M455&gt;5000,L455&lt;&gt;"East"),"High-Value Merchant Day","No")</f>
        <v>No</v>
      </c>
    </row>
    <row r="456" customFormat="false" ht="15" hidden="false" customHeight="false" outlineLevel="0" collapsed="false">
      <c r="A456" s="2" t="s">
        <v>534</v>
      </c>
      <c r="B456" s="2" t="n">
        <v>152</v>
      </c>
      <c r="C456" s="2" t="n">
        <v>10</v>
      </c>
      <c r="D456" s="9" t="n">
        <v>46041.9763888889</v>
      </c>
      <c r="E456" s="10" t="n">
        <f aca="false">INT(D456)</f>
        <v>46041</v>
      </c>
      <c r="F456" s="2" t="n">
        <v>499</v>
      </c>
      <c r="G456" s="2" t="s">
        <v>57</v>
      </c>
      <c r="H456" s="2" t="s">
        <v>78</v>
      </c>
      <c r="I456" s="2" t="n">
        <v>25</v>
      </c>
      <c r="J456" s="2" t="str">
        <f aca="false">IFERROR(VLOOKUP($C456,merchants!$A$2:$D$41,2,FALSE()),"Merchant not found")</f>
        <v>Merchant_010</v>
      </c>
      <c r="K456" s="2" t="str">
        <f aca="false">IFERROR(VLOOKUP($C456,merchants!$A$2:$D$41,3,FALSE()),"Merchant not found")</f>
        <v>grocery</v>
      </c>
      <c r="L456" s="2" t="str">
        <f aca="false">IFERROR(VLOOKUP($C456,merchants!$A$2:$D$41,4,FALSE()),"Merchant not found")</f>
        <v>West</v>
      </c>
      <c r="M456" s="2" t="n">
        <f aca="false">SUMIFS($F$2:$F$548,$C$2:$C$548,C456,$E$2:$E$548,E456)</f>
        <v>499</v>
      </c>
      <c r="N456" s="2" t="str">
        <f aca="false">IF(AND(M456&gt;5000,L456&lt;&gt;"East"),"High-Value Merchant Day","No")</f>
        <v>No</v>
      </c>
    </row>
    <row r="457" customFormat="false" ht="15" hidden="false" customHeight="false" outlineLevel="0" collapsed="false">
      <c r="A457" s="2" t="s">
        <v>535</v>
      </c>
      <c r="B457" s="2" t="n">
        <v>292</v>
      </c>
      <c r="C457" s="2" t="n">
        <v>16</v>
      </c>
      <c r="D457" s="9" t="n">
        <v>46033.3083333333</v>
      </c>
      <c r="E457" s="10" t="n">
        <f aca="false">INT(D457)</f>
        <v>46033</v>
      </c>
      <c r="F457" s="2" t="n">
        <v>499</v>
      </c>
      <c r="G457" s="2" t="s">
        <v>59</v>
      </c>
      <c r="H457" s="2" t="s">
        <v>78</v>
      </c>
      <c r="I457" s="2" t="n">
        <v>63</v>
      </c>
      <c r="J457" s="2" t="str">
        <f aca="false">IFERROR(VLOOKUP($C457,merchants!$A$2:$D$41,2,FALSE()),"Merchant not found")</f>
        <v>Merchant_016</v>
      </c>
      <c r="K457" s="2" t="str">
        <f aca="false">IFERROR(VLOOKUP($C457,merchants!$A$2:$D$41,3,FALSE()),"Merchant not found")</f>
        <v>bill_payment</v>
      </c>
      <c r="L457" s="2" t="str">
        <f aca="false">IFERROR(VLOOKUP($C457,merchants!$A$2:$D$41,4,FALSE()),"Merchant not found")</f>
        <v>West</v>
      </c>
      <c r="M457" s="2" t="n">
        <f aca="false">SUMIFS($F$2:$F$548,$C$2:$C$548,C457,$E$2:$E$548,E457)</f>
        <v>499</v>
      </c>
      <c r="N457" s="2" t="str">
        <f aca="false">IF(AND(M457&gt;5000,L457&lt;&gt;"East"),"High-Value Merchant Day","No")</f>
        <v>No</v>
      </c>
    </row>
    <row r="458" customFormat="false" ht="15" hidden="false" customHeight="false" outlineLevel="0" collapsed="false">
      <c r="A458" s="2" t="s">
        <v>536</v>
      </c>
      <c r="B458" s="2" t="n">
        <v>173</v>
      </c>
      <c r="C458" s="2" t="n">
        <v>17</v>
      </c>
      <c r="D458" s="9" t="n">
        <v>46040.8631944444</v>
      </c>
      <c r="E458" s="10" t="n">
        <f aca="false">INT(D458)</f>
        <v>46040</v>
      </c>
      <c r="F458" s="2" t="n">
        <v>99</v>
      </c>
      <c r="G458" s="2" t="s">
        <v>59</v>
      </c>
      <c r="H458" s="2" t="s">
        <v>78</v>
      </c>
      <c r="I458" s="2" t="n">
        <v>97</v>
      </c>
      <c r="J458" s="2" t="str">
        <f aca="false">IFERROR(VLOOKUP($C458,merchants!$A$2:$D$41,2,FALSE()),"Merchant not found")</f>
        <v>Merchant_017</v>
      </c>
      <c r="K458" s="2" t="str">
        <f aca="false">IFERROR(VLOOKUP($C458,merchants!$A$2:$D$41,3,FALSE()),"Merchant not found")</f>
        <v>grocery</v>
      </c>
      <c r="L458" s="2" t="str">
        <f aca="false">IFERROR(VLOOKUP($C458,merchants!$A$2:$D$41,4,FALSE()),"Merchant not found")</f>
        <v>North</v>
      </c>
      <c r="M458" s="2" t="n">
        <f aca="false">SUMIFS($F$2:$F$548,$C$2:$C$548,C458,$E$2:$E$548,E458)</f>
        <v>198</v>
      </c>
      <c r="N458" s="2" t="str">
        <f aca="false">IF(AND(M458&gt;5000,L458&lt;&gt;"East"),"High-Value Merchant Day","No")</f>
        <v>No</v>
      </c>
    </row>
    <row r="459" customFormat="false" ht="15" hidden="false" customHeight="false" outlineLevel="0" collapsed="false">
      <c r="A459" s="2" t="s">
        <v>537</v>
      </c>
      <c r="B459" s="2" t="n">
        <v>329</v>
      </c>
      <c r="C459" s="2" t="n">
        <v>32</v>
      </c>
      <c r="D459" s="9" t="n">
        <v>46049.6569444445</v>
      </c>
      <c r="E459" s="10" t="n">
        <f aca="false">INT(D459)</f>
        <v>46049</v>
      </c>
      <c r="F459" s="2" t="n">
        <v>1499</v>
      </c>
      <c r="G459" s="2" t="s">
        <v>56</v>
      </c>
      <c r="H459" s="2" t="s">
        <v>78</v>
      </c>
      <c r="I459" s="2" t="n">
        <v>58</v>
      </c>
      <c r="J459" s="2" t="str">
        <f aca="false">IFERROR(VLOOKUP($C459,merchants!$A$2:$D$41,2,FALSE()),"Merchant not found")</f>
        <v>Merchant_032</v>
      </c>
      <c r="K459" s="2" t="str">
        <f aca="false">IFERROR(VLOOKUP($C459,merchants!$A$2:$D$41,3,FALSE()),"Merchant not found")</f>
        <v>food_delivery</v>
      </c>
      <c r="L459" s="2" t="str">
        <f aca="false">IFERROR(VLOOKUP($C459,merchants!$A$2:$D$41,4,FALSE()),"Merchant not found")</f>
        <v>West</v>
      </c>
      <c r="M459" s="2" t="n">
        <f aca="false">SUMIFS($F$2:$F$548,$C$2:$C$548,C459,$E$2:$E$548,E459)</f>
        <v>1499</v>
      </c>
      <c r="N459" s="2" t="str">
        <f aca="false">IF(AND(M459&gt;5000,L459&lt;&gt;"East"),"High-Value Merchant Day","No")</f>
        <v>No</v>
      </c>
    </row>
    <row r="460" customFormat="false" ht="15" hidden="false" customHeight="false" outlineLevel="0" collapsed="false">
      <c r="A460" s="2" t="s">
        <v>538</v>
      </c>
      <c r="B460" s="2" t="n">
        <v>181</v>
      </c>
      <c r="C460" s="2" t="n">
        <v>11</v>
      </c>
      <c r="D460" s="9" t="n">
        <v>46028.9930555556</v>
      </c>
      <c r="E460" s="10" t="n">
        <f aca="false">INT(D460)</f>
        <v>46028</v>
      </c>
      <c r="F460" s="2" t="n">
        <v>1499</v>
      </c>
      <c r="G460" s="2" t="s">
        <v>56</v>
      </c>
      <c r="H460" s="2" t="s">
        <v>78</v>
      </c>
      <c r="I460" s="2" t="n">
        <v>17</v>
      </c>
      <c r="J460" s="2" t="str">
        <f aca="false">IFERROR(VLOOKUP($C460,merchants!$A$2:$D$41,2,FALSE()),"Merchant not found")</f>
        <v>Merchant_011</v>
      </c>
      <c r="K460" s="2" t="str">
        <f aca="false">IFERROR(VLOOKUP($C460,merchants!$A$2:$D$41,3,FALSE()),"Merchant not found")</f>
        <v>ecommerce</v>
      </c>
      <c r="L460" s="2" t="str">
        <f aca="false">IFERROR(VLOOKUP($C460,merchants!$A$2:$D$41,4,FALSE()),"Merchant not found")</f>
        <v>North</v>
      </c>
      <c r="M460" s="2" t="n">
        <f aca="false">SUMIFS($F$2:$F$548,$C$2:$C$548,C460,$E$2:$E$548,E460)</f>
        <v>1499</v>
      </c>
      <c r="N460" s="2" t="str">
        <f aca="false">IF(AND(M460&gt;5000,L460&lt;&gt;"East"),"High-Value Merchant Day","No")</f>
        <v>No</v>
      </c>
    </row>
    <row r="461" customFormat="false" ht="15" hidden="false" customHeight="false" outlineLevel="0" collapsed="false">
      <c r="A461" s="2" t="s">
        <v>539</v>
      </c>
      <c r="B461" s="2" t="n">
        <v>95</v>
      </c>
      <c r="C461" s="2" t="n">
        <v>35</v>
      </c>
      <c r="D461" s="9" t="n">
        <v>46046.7298611111</v>
      </c>
      <c r="E461" s="10" t="n">
        <f aca="false">INT(D461)</f>
        <v>46046</v>
      </c>
      <c r="F461" s="2" t="n">
        <v>149</v>
      </c>
      <c r="G461" s="2" t="s">
        <v>57</v>
      </c>
      <c r="H461" s="2" t="s">
        <v>78</v>
      </c>
      <c r="I461" s="2" t="n">
        <v>82</v>
      </c>
      <c r="J461" s="2" t="str">
        <f aca="false">IFERROR(VLOOKUP($C461,merchants!$A$2:$D$41,2,FALSE()),"Merchant not found")</f>
        <v>Merchant_035</v>
      </c>
      <c r="K461" s="2" t="str">
        <f aca="false">IFERROR(VLOOKUP($C461,merchants!$A$2:$D$41,3,FALSE()),"Merchant not found")</f>
        <v>recharge</v>
      </c>
      <c r="L461" s="2" t="str">
        <f aca="false">IFERROR(VLOOKUP($C461,merchants!$A$2:$D$41,4,FALSE()),"Merchant not found")</f>
        <v>East</v>
      </c>
      <c r="M461" s="2" t="n">
        <f aca="false">SUMIFS($F$2:$F$548,$C$2:$C$548,C461,$E$2:$E$548,E461)</f>
        <v>149</v>
      </c>
      <c r="N461" s="2" t="str">
        <f aca="false">IF(AND(M461&gt;5000,L461&lt;&gt;"East"),"High-Value Merchant Day","No")</f>
        <v>No</v>
      </c>
    </row>
    <row r="462" customFormat="false" ht="15" hidden="false" customHeight="false" outlineLevel="0" collapsed="false">
      <c r="A462" s="2" t="s">
        <v>540</v>
      </c>
      <c r="B462" s="2" t="n">
        <v>39</v>
      </c>
      <c r="C462" s="2" t="n">
        <v>4</v>
      </c>
      <c r="D462" s="9" t="n">
        <v>46024.6680555556</v>
      </c>
      <c r="E462" s="10" t="n">
        <f aca="false">INT(D462)</f>
        <v>46024</v>
      </c>
      <c r="F462" s="2" t="n">
        <v>149</v>
      </c>
      <c r="G462" s="2" t="s">
        <v>59</v>
      </c>
      <c r="H462" s="2" t="s">
        <v>78</v>
      </c>
      <c r="I462" s="2" t="n">
        <v>97</v>
      </c>
      <c r="J462" s="2" t="str">
        <f aca="false">IFERROR(VLOOKUP($C462,merchants!$A$2:$D$41,2,FALSE()),"Merchant not found")</f>
        <v>Merchant_004</v>
      </c>
      <c r="K462" s="2" t="str">
        <f aca="false">IFERROR(VLOOKUP($C462,merchants!$A$2:$D$41,3,FALSE()),"Merchant not found")</f>
        <v>ecommerce</v>
      </c>
      <c r="L462" s="2" t="str">
        <f aca="false">IFERROR(VLOOKUP($C462,merchants!$A$2:$D$41,4,FALSE()),"Merchant not found")</f>
        <v>East</v>
      </c>
      <c r="M462" s="2" t="n">
        <f aca="false">SUMIFS($F$2:$F$548,$C$2:$C$548,C462,$E$2:$E$548,E462)</f>
        <v>149</v>
      </c>
      <c r="N462" s="2" t="str">
        <f aca="false">IF(AND(M462&gt;5000,L462&lt;&gt;"East"),"High-Value Merchant Day","No")</f>
        <v>No</v>
      </c>
    </row>
    <row r="463" customFormat="false" ht="15" hidden="false" customHeight="false" outlineLevel="0" collapsed="false">
      <c r="A463" s="2" t="s">
        <v>541</v>
      </c>
      <c r="B463" s="2" t="n">
        <v>323</v>
      </c>
      <c r="C463" s="2" t="n">
        <v>15</v>
      </c>
      <c r="D463" s="9" t="n">
        <v>46023.5472222222</v>
      </c>
      <c r="E463" s="10" t="n">
        <f aca="false">INT(D463)</f>
        <v>46023</v>
      </c>
      <c r="F463" s="2" t="n">
        <v>499</v>
      </c>
      <c r="G463" s="2" t="s">
        <v>56</v>
      </c>
      <c r="H463" s="2" t="s">
        <v>78</v>
      </c>
      <c r="I463" s="2" t="n">
        <v>8</v>
      </c>
      <c r="J463" s="2" t="str">
        <f aca="false">IFERROR(VLOOKUP($C463,merchants!$A$2:$D$41,2,FALSE()),"Merchant not found")</f>
        <v>Merchant_015</v>
      </c>
      <c r="K463" s="2" t="str">
        <f aca="false">IFERROR(VLOOKUP($C463,merchants!$A$2:$D$41,3,FALSE()),"Merchant not found")</f>
        <v>travel</v>
      </c>
      <c r="L463" s="2" t="str">
        <f aca="false">IFERROR(VLOOKUP($C463,merchants!$A$2:$D$41,4,FALSE()),"Merchant not found")</f>
        <v>North</v>
      </c>
      <c r="M463" s="2" t="n">
        <f aca="false">SUMIFS($F$2:$F$548,$C$2:$C$548,C463,$E$2:$E$548,E463)</f>
        <v>499</v>
      </c>
      <c r="N463" s="2" t="str">
        <f aca="false">IF(AND(M463&gt;5000,L463&lt;&gt;"East"),"High-Value Merchant Day","No")</f>
        <v>No</v>
      </c>
    </row>
    <row r="464" customFormat="false" ht="15" hidden="false" customHeight="false" outlineLevel="0" collapsed="false">
      <c r="A464" s="2" t="s">
        <v>542</v>
      </c>
      <c r="B464" s="2" t="n">
        <v>112</v>
      </c>
      <c r="C464" s="2" t="n">
        <v>33</v>
      </c>
      <c r="D464" s="9" t="n">
        <v>46045.1666666667</v>
      </c>
      <c r="E464" s="10" t="n">
        <f aca="false">INT(D464)</f>
        <v>46045</v>
      </c>
      <c r="F464" s="2" t="n">
        <v>49</v>
      </c>
      <c r="G464" s="2" t="s">
        <v>59</v>
      </c>
      <c r="H464" s="2" t="s">
        <v>78</v>
      </c>
      <c r="I464" s="2" t="n">
        <v>58</v>
      </c>
      <c r="J464" s="2" t="str">
        <f aca="false">IFERROR(VLOOKUP($C464,merchants!$A$2:$D$41,2,FALSE()),"Merchant not found")</f>
        <v>Merchant_033</v>
      </c>
      <c r="K464" s="2" t="str">
        <f aca="false">IFERROR(VLOOKUP($C464,merchants!$A$2:$D$41,3,FALSE()),"Merchant not found")</f>
        <v>bill_payment</v>
      </c>
      <c r="L464" s="2" t="str">
        <f aca="false">IFERROR(VLOOKUP($C464,merchants!$A$2:$D$41,4,FALSE()),"Merchant not found")</f>
        <v>East</v>
      </c>
      <c r="M464" s="2" t="n">
        <f aca="false">SUMIFS($F$2:$F$548,$C$2:$C$548,C464,$E$2:$E$548,E464)</f>
        <v>49</v>
      </c>
      <c r="N464" s="2" t="str">
        <f aca="false">IF(AND(M464&gt;5000,L464&lt;&gt;"East"),"High-Value Merchant Day","No")</f>
        <v>No</v>
      </c>
    </row>
    <row r="465" customFormat="false" ht="15" hidden="false" customHeight="false" outlineLevel="0" collapsed="false">
      <c r="A465" s="2" t="s">
        <v>543</v>
      </c>
      <c r="B465" s="2" t="n">
        <v>327</v>
      </c>
      <c r="C465" s="2" t="n">
        <v>40</v>
      </c>
      <c r="D465" s="9" t="n">
        <v>46034.06875</v>
      </c>
      <c r="E465" s="10" t="n">
        <f aca="false">INT(D465)</f>
        <v>46034</v>
      </c>
      <c r="F465" s="2" t="n">
        <v>99</v>
      </c>
      <c r="G465" s="2" t="s">
        <v>56</v>
      </c>
      <c r="H465" s="2" t="s">
        <v>78</v>
      </c>
      <c r="I465" s="2" t="n">
        <v>61</v>
      </c>
      <c r="J465" s="2" t="str">
        <f aca="false">IFERROR(VLOOKUP($C465,merchants!$A$2:$D$41,2,FALSE()),"Merchant not found")</f>
        <v>Merchant_040</v>
      </c>
      <c r="K465" s="2" t="str">
        <f aca="false">IFERROR(VLOOKUP($C465,merchants!$A$2:$D$41,3,FALSE()),"Merchant not found")</f>
        <v>entertainment</v>
      </c>
      <c r="L465" s="2" t="str">
        <f aca="false">IFERROR(VLOOKUP($C465,merchants!$A$2:$D$41,4,FALSE()),"Merchant not found")</f>
        <v>South</v>
      </c>
      <c r="M465" s="2" t="n">
        <f aca="false">SUMIFS($F$2:$F$548,$C$2:$C$548,C465,$E$2:$E$548,E465)</f>
        <v>99</v>
      </c>
      <c r="N465" s="2" t="str">
        <f aca="false">IF(AND(M465&gt;5000,L465&lt;&gt;"East"),"High-Value Merchant Day","No")</f>
        <v>No</v>
      </c>
    </row>
    <row r="466" customFormat="false" ht="15" hidden="false" customHeight="false" outlineLevel="0" collapsed="false">
      <c r="A466" s="2" t="s">
        <v>544</v>
      </c>
      <c r="B466" s="2" t="n">
        <v>4</v>
      </c>
      <c r="C466" s="2" t="n">
        <v>35</v>
      </c>
      <c r="D466" s="9" t="n">
        <v>46044.6256944445</v>
      </c>
      <c r="E466" s="10" t="n">
        <f aca="false">INT(D466)</f>
        <v>46044</v>
      </c>
      <c r="F466" s="2" t="n">
        <v>299</v>
      </c>
      <c r="G466" s="2" t="s">
        <v>56</v>
      </c>
      <c r="H466" s="2" t="s">
        <v>78</v>
      </c>
      <c r="I466" s="2" t="n">
        <v>70</v>
      </c>
      <c r="J466" s="2" t="str">
        <f aca="false">IFERROR(VLOOKUP($C466,merchants!$A$2:$D$41,2,FALSE()),"Merchant not found")</f>
        <v>Merchant_035</v>
      </c>
      <c r="K466" s="2" t="str">
        <f aca="false">IFERROR(VLOOKUP($C466,merchants!$A$2:$D$41,3,FALSE()),"Merchant not found")</f>
        <v>recharge</v>
      </c>
      <c r="L466" s="2" t="str">
        <f aca="false">IFERROR(VLOOKUP($C466,merchants!$A$2:$D$41,4,FALSE()),"Merchant not found")</f>
        <v>East</v>
      </c>
      <c r="M466" s="2" t="n">
        <f aca="false">SUMIFS($F$2:$F$548,$C$2:$C$548,C466,$E$2:$E$548,E466)</f>
        <v>299</v>
      </c>
      <c r="N466" s="2" t="str">
        <f aca="false">IF(AND(M466&gt;5000,L466&lt;&gt;"East"),"High-Value Merchant Day","No")</f>
        <v>No</v>
      </c>
    </row>
    <row r="467" customFormat="false" ht="15" hidden="false" customHeight="false" outlineLevel="0" collapsed="false">
      <c r="A467" s="2" t="s">
        <v>545</v>
      </c>
      <c r="B467" s="2" t="n">
        <v>272</v>
      </c>
      <c r="C467" s="2" t="n">
        <v>18</v>
      </c>
      <c r="D467" s="9" t="n">
        <v>46036.0006944445</v>
      </c>
      <c r="E467" s="10" t="n">
        <f aca="false">INT(D467)</f>
        <v>46036</v>
      </c>
      <c r="F467" s="2" t="n">
        <v>149</v>
      </c>
      <c r="G467" s="2" t="s">
        <v>56</v>
      </c>
      <c r="H467" s="2" t="s">
        <v>78</v>
      </c>
      <c r="I467" s="2" t="n">
        <v>68</v>
      </c>
      <c r="J467" s="2" t="str">
        <f aca="false">IFERROR(VLOOKUP($C467,merchants!$A$2:$D$41,2,FALSE()),"Merchant not found")</f>
        <v>Merchant_018</v>
      </c>
      <c r="K467" s="2" t="str">
        <f aca="false">IFERROR(VLOOKUP($C467,merchants!$A$2:$D$41,3,FALSE()),"Merchant not found")</f>
        <v>grocery</v>
      </c>
      <c r="L467" s="2" t="str">
        <f aca="false">IFERROR(VLOOKUP($C467,merchants!$A$2:$D$41,4,FALSE()),"Merchant not found")</f>
        <v>West</v>
      </c>
      <c r="M467" s="2" t="n">
        <f aca="false">SUMIFS($F$2:$F$548,$C$2:$C$548,C467,$E$2:$E$548,E467)</f>
        <v>149</v>
      </c>
      <c r="N467" s="2" t="str">
        <f aca="false">IF(AND(M467&gt;5000,L467&lt;&gt;"East"),"High-Value Merchant Day","No")</f>
        <v>No</v>
      </c>
    </row>
    <row r="468" customFormat="false" ht="15" hidden="false" customHeight="false" outlineLevel="0" collapsed="false">
      <c r="A468" s="2" t="s">
        <v>546</v>
      </c>
      <c r="B468" s="2" t="n">
        <v>346</v>
      </c>
      <c r="C468" s="2" t="n">
        <v>28</v>
      </c>
      <c r="D468" s="9" t="n">
        <v>46032.0222222222</v>
      </c>
      <c r="E468" s="10" t="n">
        <f aca="false">INT(D468)</f>
        <v>46032</v>
      </c>
      <c r="F468" s="2" t="n">
        <v>499</v>
      </c>
      <c r="G468" s="2" t="s">
        <v>56</v>
      </c>
      <c r="H468" s="2" t="s">
        <v>78</v>
      </c>
      <c r="I468" s="2" t="n">
        <v>22</v>
      </c>
      <c r="J468" s="2" t="str">
        <f aca="false">IFERROR(VLOOKUP($C468,merchants!$A$2:$D$41,2,FALSE()),"Merchant not found")</f>
        <v>Merchant_028</v>
      </c>
      <c r="K468" s="2" t="str">
        <f aca="false">IFERROR(VLOOKUP($C468,merchants!$A$2:$D$41,3,FALSE()),"Merchant not found")</f>
        <v>ecommerce</v>
      </c>
      <c r="L468" s="2" t="str">
        <f aca="false">IFERROR(VLOOKUP($C468,merchants!$A$2:$D$41,4,FALSE()),"Merchant not found")</f>
        <v>South</v>
      </c>
      <c r="M468" s="2" t="n">
        <f aca="false">SUMIFS($F$2:$F$548,$C$2:$C$548,C468,$E$2:$E$548,E468)</f>
        <v>499</v>
      </c>
      <c r="N468" s="2" t="str">
        <f aca="false">IF(AND(M468&gt;5000,L468&lt;&gt;"East"),"High-Value Merchant Day","No")</f>
        <v>No</v>
      </c>
    </row>
    <row r="469" customFormat="false" ht="15" hidden="false" customHeight="false" outlineLevel="0" collapsed="false">
      <c r="A469" s="2" t="s">
        <v>547</v>
      </c>
      <c r="B469" s="2" t="n">
        <v>77</v>
      </c>
      <c r="C469" s="2" t="n">
        <v>16</v>
      </c>
      <c r="D469" s="9" t="n">
        <v>46026.1479166667</v>
      </c>
      <c r="E469" s="10" t="n">
        <f aca="false">INT(D469)</f>
        <v>46026</v>
      </c>
      <c r="F469" s="2" t="n">
        <v>49</v>
      </c>
      <c r="G469" s="2" t="s">
        <v>57</v>
      </c>
      <c r="H469" s="2" t="s">
        <v>78</v>
      </c>
      <c r="I469" s="2" t="n">
        <v>24</v>
      </c>
      <c r="J469" s="2" t="str">
        <f aca="false">IFERROR(VLOOKUP($C469,merchants!$A$2:$D$41,2,FALSE()),"Merchant not found")</f>
        <v>Merchant_016</v>
      </c>
      <c r="K469" s="2" t="str">
        <f aca="false">IFERROR(VLOOKUP($C469,merchants!$A$2:$D$41,3,FALSE()),"Merchant not found")</f>
        <v>bill_payment</v>
      </c>
      <c r="L469" s="2" t="str">
        <f aca="false">IFERROR(VLOOKUP($C469,merchants!$A$2:$D$41,4,FALSE()),"Merchant not found")</f>
        <v>West</v>
      </c>
      <c r="M469" s="2" t="n">
        <f aca="false">SUMIFS($F$2:$F$548,$C$2:$C$548,C469,$E$2:$E$548,E469)</f>
        <v>49</v>
      </c>
      <c r="N469" s="2" t="str">
        <f aca="false">IF(AND(M469&gt;5000,L469&lt;&gt;"East"),"High-Value Merchant Day","No")</f>
        <v>No</v>
      </c>
    </row>
    <row r="470" customFormat="false" ht="15" hidden="false" customHeight="false" outlineLevel="0" collapsed="false">
      <c r="A470" s="2" t="s">
        <v>548</v>
      </c>
      <c r="B470" s="2" t="n">
        <v>182</v>
      </c>
      <c r="C470" s="2" t="n">
        <v>18</v>
      </c>
      <c r="D470" s="9" t="n">
        <v>46042.6777777778</v>
      </c>
      <c r="E470" s="10" t="n">
        <f aca="false">INT(D470)</f>
        <v>46042</v>
      </c>
      <c r="F470" s="2" t="n">
        <v>149</v>
      </c>
      <c r="G470" s="2" t="s">
        <v>58</v>
      </c>
      <c r="H470" s="2" t="s">
        <v>78</v>
      </c>
      <c r="I470" s="2" t="n">
        <v>50</v>
      </c>
      <c r="J470" s="2" t="str">
        <f aca="false">IFERROR(VLOOKUP($C470,merchants!$A$2:$D$41,2,FALSE()),"Merchant not found")</f>
        <v>Merchant_018</v>
      </c>
      <c r="K470" s="2" t="str">
        <f aca="false">IFERROR(VLOOKUP($C470,merchants!$A$2:$D$41,3,FALSE()),"Merchant not found")</f>
        <v>grocery</v>
      </c>
      <c r="L470" s="2" t="str">
        <f aca="false">IFERROR(VLOOKUP($C470,merchants!$A$2:$D$41,4,FALSE()),"Merchant not found")</f>
        <v>West</v>
      </c>
      <c r="M470" s="2" t="n">
        <f aca="false">SUMIFS($F$2:$F$548,$C$2:$C$548,C470,$E$2:$E$548,E470)</f>
        <v>149</v>
      </c>
      <c r="N470" s="2" t="str">
        <f aca="false">IF(AND(M470&gt;5000,L470&lt;&gt;"East"),"High-Value Merchant Day","No")</f>
        <v>No</v>
      </c>
    </row>
    <row r="471" customFormat="false" ht="15" hidden="false" customHeight="false" outlineLevel="0" collapsed="false">
      <c r="A471" s="2" t="s">
        <v>549</v>
      </c>
      <c r="B471" s="2" t="n">
        <v>236</v>
      </c>
      <c r="C471" s="2" t="n">
        <v>37</v>
      </c>
      <c r="D471" s="9" t="n">
        <v>46025.4756944445</v>
      </c>
      <c r="E471" s="10" t="n">
        <f aca="false">INT(D471)</f>
        <v>46025</v>
      </c>
      <c r="F471" s="2" t="n">
        <v>299</v>
      </c>
      <c r="G471" s="2" t="s">
        <v>58</v>
      </c>
      <c r="H471" s="2" t="s">
        <v>78</v>
      </c>
      <c r="I471" s="2" t="n">
        <v>31</v>
      </c>
      <c r="J471" s="2" t="str">
        <f aca="false">IFERROR(VLOOKUP($C471,merchants!$A$2:$D$41,2,FALSE()),"Merchant not found")</f>
        <v>Merchant_037</v>
      </c>
      <c r="K471" s="2" t="str">
        <f aca="false">IFERROR(VLOOKUP($C471,merchants!$A$2:$D$41,3,FALSE()),"Merchant not found")</f>
        <v>entertainment</v>
      </c>
      <c r="L471" s="2" t="str">
        <f aca="false">IFERROR(VLOOKUP($C471,merchants!$A$2:$D$41,4,FALSE()),"Merchant not found")</f>
        <v>South</v>
      </c>
      <c r="M471" s="2" t="n">
        <f aca="false">SUMIFS($F$2:$F$548,$C$2:$C$548,C471,$E$2:$E$548,E471)</f>
        <v>299</v>
      </c>
      <c r="N471" s="2" t="str">
        <f aca="false">IF(AND(M471&gt;5000,L471&lt;&gt;"East"),"High-Value Merchant Day","No")</f>
        <v>No</v>
      </c>
    </row>
    <row r="472" customFormat="false" ht="15" hidden="false" customHeight="false" outlineLevel="0" collapsed="false">
      <c r="A472" s="2" t="s">
        <v>550</v>
      </c>
      <c r="B472" s="2" t="n">
        <v>42</v>
      </c>
      <c r="C472" s="2" t="n">
        <v>3</v>
      </c>
      <c r="D472" s="9" t="n">
        <v>46045.3048611111</v>
      </c>
      <c r="E472" s="10" t="n">
        <f aca="false">INT(D472)</f>
        <v>46045</v>
      </c>
      <c r="F472" s="2" t="n">
        <v>49</v>
      </c>
      <c r="G472" s="2" t="s">
        <v>56</v>
      </c>
      <c r="H472" s="2" t="s">
        <v>78</v>
      </c>
      <c r="I472" s="2" t="n">
        <v>11</v>
      </c>
      <c r="J472" s="2" t="str">
        <f aca="false">IFERROR(VLOOKUP($C472,merchants!$A$2:$D$41,2,FALSE()),"Merchant not found")</f>
        <v>Merchant_003</v>
      </c>
      <c r="K472" s="2" t="str">
        <f aca="false">IFERROR(VLOOKUP($C472,merchants!$A$2:$D$41,3,FALSE()),"Merchant not found")</f>
        <v>grocery</v>
      </c>
      <c r="L472" s="2" t="str">
        <f aca="false">IFERROR(VLOOKUP($C472,merchants!$A$2:$D$41,4,FALSE()),"Merchant not found")</f>
        <v>East</v>
      </c>
      <c r="M472" s="2" t="n">
        <f aca="false">SUMIFS($F$2:$F$548,$C$2:$C$548,C472,$E$2:$E$548,E472)</f>
        <v>49</v>
      </c>
      <c r="N472" s="2" t="str">
        <f aca="false">IF(AND(M472&gt;5000,L472&lt;&gt;"East"),"High-Value Merchant Day","No")</f>
        <v>No</v>
      </c>
    </row>
    <row r="473" customFormat="false" ht="15" hidden="false" customHeight="false" outlineLevel="0" collapsed="false">
      <c r="A473" s="2" t="s">
        <v>551</v>
      </c>
      <c r="B473" s="2" t="n">
        <v>283</v>
      </c>
      <c r="C473" s="2" t="n">
        <v>31</v>
      </c>
      <c r="D473" s="9" t="n">
        <v>46035.5166666667</v>
      </c>
      <c r="E473" s="10" t="n">
        <f aca="false">INT(D473)</f>
        <v>46035</v>
      </c>
      <c r="F473" s="2" t="n">
        <v>299</v>
      </c>
      <c r="G473" s="2" t="s">
        <v>59</v>
      </c>
      <c r="H473" s="2" t="s">
        <v>78</v>
      </c>
      <c r="I473" s="2" t="n">
        <v>7</v>
      </c>
      <c r="J473" s="2" t="str">
        <f aca="false">IFERROR(VLOOKUP($C473,merchants!$A$2:$D$41,2,FALSE()),"Merchant not found")</f>
        <v>Merchant_031</v>
      </c>
      <c r="K473" s="2" t="str">
        <f aca="false">IFERROR(VLOOKUP($C473,merchants!$A$2:$D$41,3,FALSE()),"Merchant not found")</f>
        <v>bill_payment</v>
      </c>
      <c r="L473" s="2" t="str">
        <f aca="false">IFERROR(VLOOKUP($C473,merchants!$A$2:$D$41,4,FALSE()),"Merchant not found")</f>
        <v>East</v>
      </c>
      <c r="M473" s="2" t="n">
        <f aca="false">SUMIFS($F$2:$F$548,$C$2:$C$548,C473,$E$2:$E$548,E473)</f>
        <v>299</v>
      </c>
      <c r="N473" s="2" t="str">
        <f aca="false">IF(AND(M473&gt;5000,L473&lt;&gt;"East"),"High-Value Merchant Day","No")</f>
        <v>No</v>
      </c>
    </row>
    <row r="474" customFormat="false" ht="15" hidden="false" customHeight="false" outlineLevel="0" collapsed="false">
      <c r="A474" s="2" t="s">
        <v>552</v>
      </c>
      <c r="B474" s="2" t="n">
        <v>88</v>
      </c>
      <c r="C474" s="2" t="n">
        <v>6</v>
      </c>
      <c r="D474" s="9" t="n">
        <v>46043.0305555556</v>
      </c>
      <c r="E474" s="10" t="n">
        <f aca="false">INT(D474)</f>
        <v>46043</v>
      </c>
      <c r="F474" s="2" t="n">
        <v>49</v>
      </c>
      <c r="G474" s="2" t="s">
        <v>56</v>
      </c>
      <c r="H474" s="2" t="s">
        <v>78</v>
      </c>
      <c r="I474" s="2" t="n">
        <v>63</v>
      </c>
      <c r="J474" s="2" t="str">
        <f aca="false">IFERROR(VLOOKUP($C474,merchants!$A$2:$D$41,2,FALSE()),"Merchant not found")</f>
        <v>Merchant_006</v>
      </c>
      <c r="K474" s="2" t="str">
        <f aca="false">IFERROR(VLOOKUP($C474,merchants!$A$2:$D$41,3,FALSE()),"Merchant not found")</f>
        <v>food_delivery</v>
      </c>
      <c r="L474" s="2" t="str">
        <f aca="false">IFERROR(VLOOKUP($C474,merchants!$A$2:$D$41,4,FALSE()),"Merchant not found")</f>
        <v>South</v>
      </c>
      <c r="M474" s="2" t="n">
        <f aca="false">SUMIFS($F$2:$F$548,$C$2:$C$548,C474,$E$2:$E$548,E474)</f>
        <v>49</v>
      </c>
      <c r="N474" s="2" t="str">
        <f aca="false">IF(AND(M474&gt;5000,L474&lt;&gt;"East"),"High-Value Merchant Day","No")</f>
        <v>No</v>
      </c>
    </row>
    <row r="475" customFormat="false" ht="15" hidden="false" customHeight="false" outlineLevel="0" collapsed="false">
      <c r="A475" s="2" t="s">
        <v>553</v>
      </c>
      <c r="B475" s="2" t="n">
        <v>170</v>
      </c>
      <c r="C475" s="2" t="n">
        <v>37</v>
      </c>
      <c r="D475" s="9" t="n">
        <v>46050.5701388889</v>
      </c>
      <c r="E475" s="10" t="n">
        <f aca="false">INT(D475)</f>
        <v>46050</v>
      </c>
      <c r="F475" s="2" t="n">
        <v>99</v>
      </c>
      <c r="G475" s="2" t="s">
        <v>56</v>
      </c>
      <c r="H475" s="2" t="s">
        <v>90</v>
      </c>
      <c r="I475" s="2" t="n">
        <v>12</v>
      </c>
      <c r="J475" s="2" t="str">
        <f aca="false">IFERROR(VLOOKUP($C475,merchants!$A$2:$D$41,2,FALSE()),"Merchant not found")</f>
        <v>Merchant_037</v>
      </c>
      <c r="K475" s="2" t="str">
        <f aca="false">IFERROR(VLOOKUP($C475,merchants!$A$2:$D$41,3,FALSE()),"Merchant not found")</f>
        <v>entertainment</v>
      </c>
      <c r="L475" s="2" t="str">
        <f aca="false">IFERROR(VLOOKUP($C475,merchants!$A$2:$D$41,4,FALSE()),"Merchant not found")</f>
        <v>South</v>
      </c>
      <c r="M475" s="2" t="n">
        <f aca="false">SUMIFS($F$2:$F$548,$C$2:$C$548,C475,$E$2:$E$548,E475)</f>
        <v>697</v>
      </c>
      <c r="N475" s="2" t="str">
        <f aca="false">IF(AND(M475&gt;5000,L475&lt;&gt;"East"),"High-Value Merchant Day","No")</f>
        <v>No</v>
      </c>
    </row>
    <row r="476" customFormat="false" ht="15" hidden="false" customHeight="false" outlineLevel="0" collapsed="false">
      <c r="A476" s="2" t="s">
        <v>554</v>
      </c>
      <c r="B476" s="2" t="n">
        <v>22</v>
      </c>
      <c r="C476" s="2" t="n">
        <v>15</v>
      </c>
      <c r="D476" s="9" t="n">
        <v>46051.7069444444</v>
      </c>
      <c r="E476" s="10" t="n">
        <f aca="false">INT(D476)</f>
        <v>46051</v>
      </c>
      <c r="F476" s="2" t="n">
        <v>49</v>
      </c>
      <c r="G476" s="2" t="s">
        <v>59</v>
      </c>
      <c r="H476" s="2" t="s">
        <v>78</v>
      </c>
      <c r="I476" s="2" t="n">
        <v>27</v>
      </c>
      <c r="J476" s="2" t="str">
        <f aca="false">IFERROR(VLOOKUP($C476,merchants!$A$2:$D$41,2,FALSE()),"Merchant not found")</f>
        <v>Merchant_015</v>
      </c>
      <c r="K476" s="2" t="str">
        <f aca="false">IFERROR(VLOOKUP($C476,merchants!$A$2:$D$41,3,FALSE()),"Merchant not found")</f>
        <v>travel</v>
      </c>
      <c r="L476" s="2" t="str">
        <f aca="false">IFERROR(VLOOKUP($C476,merchants!$A$2:$D$41,4,FALSE()),"Merchant not found")</f>
        <v>North</v>
      </c>
      <c r="M476" s="2" t="n">
        <f aca="false">SUMIFS($F$2:$F$548,$C$2:$C$548,C476,$E$2:$E$548,E476)</f>
        <v>98</v>
      </c>
      <c r="N476" s="2" t="str">
        <f aca="false">IF(AND(M476&gt;5000,L476&lt;&gt;"East"),"High-Value Merchant Day","No")</f>
        <v>No</v>
      </c>
    </row>
    <row r="477" customFormat="false" ht="15" hidden="false" customHeight="false" outlineLevel="0" collapsed="false">
      <c r="A477" s="2" t="s">
        <v>555</v>
      </c>
      <c r="B477" s="2" t="n">
        <v>291</v>
      </c>
      <c r="C477" s="2" t="n">
        <v>31</v>
      </c>
      <c r="D477" s="9" t="n">
        <v>46051.9555555556</v>
      </c>
      <c r="E477" s="10" t="n">
        <f aca="false">INT(D477)</f>
        <v>46051</v>
      </c>
      <c r="F477" s="2" t="n">
        <v>49</v>
      </c>
      <c r="G477" s="2" t="s">
        <v>59</v>
      </c>
      <c r="H477" s="2" t="s">
        <v>90</v>
      </c>
      <c r="I477" s="2" t="n">
        <v>34</v>
      </c>
      <c r="J477" s="2" t="str">
        <f aca="false">IFERROR(VLOOKUP($C477,merchants!$A$2:$D$41,2,FALSE()),"Merchant not found")</f>
        <v>Merchant_031</v>
      </c>
      <c r="K477" s="2" t="str">
        <f aca="false">IFERROR(VLOOKUP($C477,merchants!$A$2:$D$41,3,FALSE()),"Merchant not found")</f>
        <v>bill_payment</v>
      </c>
      <c r="L477" s="2" t="str">
        <f aca="false">IFERROR(VLOOKUP($C477,merchants!$A$2:$D$41,4,FALSE()),"Merchant not found")</f>
        <v>East</v>
      </c>
      <c r="M477" s="2" t="n">
        <f aca="false">SUMIFS($F$2:$F$548,$C$2:$C$548,C477,$E$2:$E$548,E477)</f>
        <v>49</v>
      </c>
      <c r="N477" s="2" t="str">
        <f aca="false">IF(AND(M477&gt;5000,L477&lt;&gt;"East"),"High-Value Merchant Day","No")</f>
        <v>No</v>
      </c>
    </row>
    <row r="478" customFormat="false" ht="15" hidden="false" customHeight="false" outlineLevel="0" collapsed="false">
      <c r="A478" s="2" t="s">
        <v>556</v>
      </c>
      <c r="B478" s="2" t="n">
        <v>144</v>
      </c>
      <c r="C478" s="2" t="n">
        <v>35</v>
      </c>
      <c r="D478" s="9" t="n">
        <v>46024.1131944444</v>
      </c>
      <c r="E478" s="10" t="n">
        <f aca="false">INT(D478)</f>
        <v>46024</v>
      </c>
      <c r="F478" s="2" t="n">
        <v>1499</v>
      </c>
      <c r="G478" s="2" t="s">
        <v>56</v>
      </c>
      <c r="H478" s="2" t="s">
        <v>78</v>
      </c>
      <c r="I478" s="2" t="n">
        <v>72</v>
      </c>
      <c r="J478" s="2" t="str">
        <f aca="false">IFERROR(VLOOKUP($C478,merchants!$A$2:$D$41,2,FALSE()),"Merchant not found")</f>
        <v>Merchant_035</v>
      </c>
      <c r="K478" s="2" t="str">
        <f aca="false">IFERROR(VLOOKUP($C478,merchants!$A$2:$D$41,3,FALSE()),"Merchant not found")</f>
        <v>recharge</v>
      </c>
      <c r="L478" s="2" t="str">
        <f aca="false">IFERROR(VLOOKUP($C478,merchants!$A$2:$D$41,4,FALSE()),"Merchant not found")</f>
        <v>East</v>
      </c>
      <c r="M478" s="2" t="n">
        <f aca="false">SUMIFS($F$2:$F$548,$C$2:$C$548,C478,$E$2:$E$548,E478)</f>
        <v>1847</v>
      </c>
      <c r="N478" s="2" t="str">
        <f aca="false">IF(AND(M478&gt;5000,L478&lt;&gt;"East"),"High-Value Merchant Day","No")</f>
        <v>No</v>
      </c>
    </row>
    <row r="479" customFormat="false" ht="15" hidden="false" customHeight="false" outlineLevel="0" collapsed="false">
      <c r="A479" s="2" t="s">
        <v>557</v>
      </c>
      <c r="B479" s="2" t="n">
        <v>162</v>
      </c>
      <c r="C479" s="2" t="n">
        <v>2</v>
      </c>
      <c r="D479" s="9" t="n">
        <v>46044.0493055556</v>
      </c>
      <c r="E479" s="10" t="n">
        <f aca="false">INT(D479)</f>
        <v>46044</v>
      </c>
      <c r="F479" s="2" t="n">
        <v>299</v>
      </c>
      <c r="G479" s="2" t="s">
        <v>57</v>
      </c>
      <c r="H479" s="2" t="s">
        <v>78</v>
      </c>
      <c r="I479" s="2" t="n">
        <v>26</v>
      </c>
      <c r="J479" s="2" t="str">
        <f aca="false">IFERROR(VLOOKUP($C479,merchants!$A$2:$D$41,2,FALSE()),"Merchant not found")</f>
        <v>Merchant_002</v>
      </c>
      <c r="K479" s="2" t="str">
        <f aca="false">IFERROR(VLOOKUP($C479,merchants!$A$2:$D$41,3,FALSE()),"Merchant not found")</f>
        <v>grocery</v>
      </c>
      <c r="L479" s="2" t="str">
        <f aca="false">IFERROR(VLOOKUP($C479,merchants!$A$2:$D$41,4,FALSE()),"Merchant not found")</f>
        <v>West</v>
      </c>
      <c r="M479" s="2" t="n">
        <f aca="false">SUMIFS($F$2:$F$548,$C$2:$C$548,C479,$E$2:$E$548,E479)</f>
        <v>299</v>
      </c>
      <c r="N479" s="2" t="str">
        <f aca="false">IF(AND(M479&gt;5000,L479&lt;&gt;"East"),"High-Value Merchant Day","No")</f>
        <v>No</v>
      </c>
    </row>
    <row r="480" customFormat="false" ht="15" hidden="false" customHeight="false" outlineLevel="0" collapsed="false">
      <c r="A480" s="2" t="s">
        <v>558</v>
      </c>
      <c r="B480" s="2" t="n">
        <v>204</v>
      </c>
      <c r="C480" s="2" t="n">
        <v>5</v>
      </c>
      <c r="D480" s="9" t="n">
        <v>46041.2</v>
      </c>
      <c r="E480" s="10" t="n">
        <f aca="false">INT(D480)</f>
        <v>46041</v>
      </c>
      <c r="F480" s="2" t="n">
        <v>49</v>
      </c>
      <c r="G480" s="2" t="s">
        <v>56</v>
      </c>
      <c r="H480" s="2" t="s">
        <v>78</v>
      </c>
      <c r="I480" s="2" t="n">
        <v>38</v>
      </c>
      <c r="J480" s="2" t="str">
        <f aca="false">IFERROR(VLOOKUP($C480,merchants!$A$2:$D$41,2,FALSE()),"Merchant not found")</f>
        <v>Merchant_005</v>
      </c>
      <c r="K480" s="2" t="str">
        <f aca="false">IFERROR(VLOOKUP($C480,merchants!$A$2:$D$41,3,FALSE()),"Merchant not found")</f>
        <v>recharge</v>
      </c>
      <c r="L480" s="2" t="str">
        <f aca="false">IFERROR(VLOOKUP($C480,merchants!$A$2:$D$41,4,FALSE()),"Merchant not found")</f>
        <v>South</v>
      </c>
      <c r="M480" s="2" t="n">
        <f aca="false">SUMIFS($F$2:$F$548,$C$2:$C$548,C480,$E$2:$E$548,E480)</f>
        <v>49</v>
      </c>
      <c r="N480" s="2" t="str">
        <f aca="false">IF(AND(M480&gt;5000,L480&lt;&gt;"East"),"High-Value Merchant Day","No")</f>
        <v>No</v>
      </c>
    </row>
    <row r="481" customFormat="false" ht="15" hidden="false" customHeight="false" outlineLevel="0" collapsed="false">
      <c r="A481" s="2" t="s">
        <v>559</v>
      </c>
      <c r="B481" s="2" t="n">
        <v>291</v>
      </c>
      <c r="C481" s="2" t="n">
        <v>25</v>
      </c>
      <c r="D481" s="9" t="n">
        <v>46028.7604166667</v>
      </c>
      <c r="E481" s="10" t="n">
        <f aca="false">INT(D481)</f>
        <v>46028</v>
      </c>
      <c r="F481" s="2" t="n">
        <v>99</v>
      </c>
      <c r="G481" s="2" t="s">
        <v>57</v>
      </c>
      <c r="H481" s="2" t="s">
        <v>78</v>
      </c>
      <c r="I481" s="2" t="n">
        <v>86</v>
      </c>
      <c r="J481" s="2" t="str">
        <f aca="false">IFERROR(VLOOKUP($C481,merchants!$A$2:$D$41,2,FALSE()),"Merchant not found")</f>
        <v>Merchant_025</v>
      </c>
      <c r="K481" s="2" t="str">
        <f aca="false">IFERROR(VLOOKUP($C481,merchants!$A$2:$D$41,3,FALSE()),"Merchant not found")</f>
        <v>travel</v>
      </c>
      <c r="L481" s="2" t="str">
        <f aca="false">IFERROR(VLOOKUP($C481,merchants!$A$2:$D$41,4,FALSE()),"Merchant not found")</f>
        <v>South</v>
      </c>
      <c r="M481" s="2" t="n">
        <f aca="false">SUMIFS($F$2:$F$548,$C$2:$C$548,C481,$E$2:$E$548,E481)</f>
        <v>898</v>
      </c>
      <c r="N481" s="2" t="str">
        <f aca="false">IF(AND(M481&gt;5000,L481&lt;&gt;"East"),"High-Value Merchant Day","No")</f>
        <v>No</v>
      </c>
    </row>
    <row r="482" customFormat="false" ht="15" hidden="false" customHeight="false" outlineLevel="0" collapsed="false">
      <c r="A482" s="2" t="s">
        <v>560</v>
      </c>
      <c r="B482" s="2" t="n">
        <v>197</v>
      </c>
      <c r="C482" s="2" t="n">
        <v>9</v>
      </c>
      <c r="D482" s="9" t="n">
        <v>46051.7229166667</v>
      </c>
      <c r="E482" s="10" t="n">
        <f aca="false">INT(D482)</f>
        <v>46051</v>
      </c>
      <c r="F482" s="2" t="n">
        <v>49</v>
      </c>
      <c r="G482" s="2" t="s">
        <v>57</v>
      </c>
      <c r="H482" s="2" t="s">
        <v>90</v>
      </c>
      <c r="I482" s="2" t="n">
        <v>88</v>
      </c>
      <c r="J482" s="2" t="str">
        <f aca="false">IFERROR(VLOOKUP($C482,merchants!$A$2:$D$41,2,FALSE()),"Merchant not found")</f>
        <v>Merchant_009</v>
      </c>
      <c r="K482" s="2" t="str">
        <f aca="false">IFERROR(VLOOKUP($C482,merchants!$A$2:$D$41,3,FALSE()),"Merchant not found")</f>
        <v>ecommerce</v>
      </c>
      <c r="L482" s="2" t="str">
        <f aca="false">IFERROR(VLOOKUP($C482,merchants!$A$2:$D$41,4,FALSE()),"Merchant not found")</f>
        <v>North</v>
      </c>
      <c r="M482" s="2" t="n">
        <f aca="false">SUMIFS($F$2:$F$548,$C$2:$C$548,C482,$E$2:$E$548,E482)</f>
        <v>49</v>
      </c>
      <c r="N482" s="2" t="str">
        <f aca="false">IF(AND(M482&gt;5000,L482&lt;&gt;"East"),"High-Value Merchant Day","No")</f>
        <v>No</v>
      </c>
    </row>
    <row r="483" customFormat="false" ht="15" hidden="false" customHeight="false" outlineLevel="0" collapsed="false">
      <c r="A483" s="2" t="s">
        <v>561</v>
      </c>
      <c r="B483" s="2" t="n">
        <v>178</v>
      </c>
      <c r="C483" s="2" t="n">
        <v>4</v>
      </c>
      <c r="D483" s="9" t="n">
        <v>46046.1055555556</v>
      </c>
      <c r="E483" s="10" t="n">
        <f aca="false">INT(D483)</f>
        <v>46046</v>
      </c>
      <c r="F483" s="2" t="n">
        <v>1499</v>
      </c>
      <c r="G483" s="2" t="s">
        <v>56</v>
      </c>
      <c r="H483" s="2" t="s">
        <v>78</v>
      </c>
      <c r="I483" s="2" t="n">
        <v>12</v>
      </c>
      <c r="J483" s="2" t="str">
        <f aca="false">IFERROR(VLOOKUP($C483,merchants!$A$2:$D$41,2,FALSE()),"Merchant not found")</f>
        <v>Merchant_004</v>
      </c>
      <c r="K483" s="2" t="str">
        <f aca="false">IFERROR(VLOOKUP($C483,merchants!$A$2:$D$41,3,FALSE()),"Merchant not found")</f>
        <v>ecommerce</v>
      </c>
      <c r="L483" s="2" t="str">
        <f aca="false">IFERROR(VLOOKUP($C483,merchants!$A$2:$D$41,4,FALSE()),"Merchant not found")</f>
        <v>East</v>
      </c>
      <c r="M483" s="2" t="n">
        <f aca="false">SUMIFS($F$2:$F$548,$C$2:$C$548,C483,$E$2:$E$548,E483)</f>
        <v>1499</v>
      </c>
      <c r="N483" s="2" t="str">
        <f aca="false">IF(AND(M483&gt;5000,L483&lt;&gt;"East"),"High-Value Merchant Day","No")</f>
        <v>No</v>
      </c>
    </row>
    <row r="484" customFormat="false" ht="15" hidden="false" customHeight="false" outlineLevel="0" collapsed="false">
      <c r="A484" s="2" t="s">
        <v>562</v>
      </c>
      <c r="B484" s="2" t="n">
        <v>39</v>
      </c>
      <c r="C484" s="2" t="n">
        <v>22</v>
      </c>
      <c r="D484" s="9" t="n">
        <v>46036.3284722222</v>
      </c>
      <c r="E484" s="10" t="n">
        <f aca="false">INT(D484)</f>
        <v>46036</v>
      </c>
      <c r="F484" s="2" t="n">
        <v>799</v>
      </c>
      <c r="G484" s="2" t="s">
        <v>59</v>
      </c>
      <c r="H484" s="2" t="s">
        <v>78</v>
      </c>
      <c r="I484" s="2" t="n">
        <v>77</v>
      </c>
      <c r="J484" s="2" t="str">
        <f aca="false">IFERROR(VLOOKUP($C484,merchants!$A$2:$D$41,2,FALSE()),"Merchant not found")</f>
        <v>Merchant_022</v>
      </c>
      <c r="K484" s="2" t="str">
        <f aca="false">IFERROR(VLOOKUP($C484,merchants!$A$2:$D$41,3,FALSE()),"Merchant not found")</f>
        <v>travel</v>
      </c>
      <c r="L484" s="2" t="str">
        <f aca="false">IFERROR(VLOOKUP($C484,merchants!$A$2:$D$41,4,FALSE()),"Merchant not found")</f>
        <v>South</v>
      </c>
      <c r="M484" s="2" t="n">
        <f aca="false">SUMIFS($F$2:$F$548,$C$2:$C$548,C484,$E$2:$E$548,E484)</f>
        <v>799</v>
      </c>
      <c r="N484" s="2" t="str">
        <f aca="false">IF(AND(M484&gt;5000,L484&lt;&gt;"East"),"High-Value Merchant Day","No")</f>
        <v>No</v>
      </c>
    </row>
    <row r="485" customFormat="false" ht="15" hidden="false" customHeight="false" outlineLevel="0" collapsed="false">
      <c r="A485" s="2" t="s">
        <v>563</v>
      </c>
      <c r="B485" s="2" t="n">
        <v>204</v>
      </c>
      <c r="C485" s="2" t="n">
        <v>21</v>
      </c>
      <c r="D485" s="9" t="n">
        <v>46047.8180555556</v>
      </c>
      <c r="E485" s="10" t="n">
        <f aca="false">INT(D485)</f>
        <v>46047</v>
      </c>
      <c r="F485" s="2" t="n">
        <v>299</v>
      </c>
      <c r="G485" s="2" t="s">
        <v>57</v>
      </c>
      <c r="H485" s="2" t="s">
        <v>78</v>
      </c>
      <c r="I485" s="2" t="n">
        <v>3</v>
      </c>
      <c r="J485" s="2" t="str">
        <f aca="false">IFERROR(VLOOKUP($C485,merchants!$A$2:$D$41,2,FALSE()),"Merchant not found")</f>
        <v>Merchant_021</v>
      </c>
      <c r="K485" s="2" t="str">
        <f aca="false">IFERROR(VLOOKUP($C485,merchants!$A$2:$D$41,3,FALSE()),"Merchant not found")</f>
        <v>food_delivery</v>
      </c>
      <c r="L485" s="2" t="str">
        <f aca="false">IFERROR(VLOOKUP($C485,merchants!$A$2:$D$41,4,FALSE()),"Merchant not found")</f>
        <v>East</v>
      </c>
      <c r="M485" s="2" t="n">
        <f aca="false">SUMIFS($F$2:$F$548,$C$2:$C$548,C485,$E$2:$E$548,E485)</f>
        <v>299</v>
      </c>
      <c r="N485" s="2" t="str">
        <f aca="false">IF(AND(M485&gt;5000,L485&lt;&gt;"East"),"High-Value Merchant Day","No")</f>
        <v>No</v>
      </c>
    </row>
    <row r="486" customFormat="false" ht="15" hidden="false" customHeight="false" outlineLevel="0" collapsed="false">
      <c r="A486" s="2" t="s">
        <v>564</v>
      </c>
      <c r="B486" s="2" t="n">
        <v>231</v>
      </c>
      <c r="C486" s="2" t="n">
        <v>32</v>
      </c>
      <c r="D486" s="9" t="n">
        <v>46043.3680555556</v>
      </c>
      <c r="E486" s="10" t="n">
        <f aca="false">INT(D486)</f>
        <v>46043</v>
      </c>
      <c r="F486" s="2" t="n">
        <v>299</v>
      </c>
      <c r="G486" s="2" t="s">
        <v>56</v>
      </c>
      <c r="H486" s="2" t="s">
        <v>78</v>
      </c>
      <c r="I486" s="2" t="n">
        <v>29</v>
      </c>
      <c r="J486" s="2" t="str">
        <f aca="false">IFERROR(VLOOKUP($C486,merchants!$A$2:$D$41,2,FALSE()),"Merchant not found")</f>
        <v>Merchant_032</v>
      </c>
      <c r="K486" s="2" t="str">
        <f aca="false">IFERROR(VLOOKUP($C486,merchants!$A$2:$D$41,3,FALSE()),"Merchant not found")</f>
        <v>food_delivery</v>
      </c>
      <c r="L486" s="2" t="str">
        <f aca="false">IFERROR(VLOOKUP($C486,merchants!$A$2:$D$41,4,FALSE()),"Merchant not found")</f>
        <v>West</v>
      </c>
      <c r="M486" s="2" t="n">
        <f aca="false">SUMIFS($F$2:$F$548,$C$2:$C$548,C486,$E$2:$E$548,E486)</f>
        <v>348</v>
      </c>
      <c r="N486" s="2" t="str">
        <f aca="false">IF(AND(M486&gt;5000,L486&lt;&gt;"East"),"High-Value Merchant Day","No")</f>
        <v>No</v>
      </c>
    </row>
    <row r="487" customFormat="false" ht="15" hidden="false" customHeight="false" outlineLevel="0" collapsed="false">
      <c r="A487" s="2" t="s">
        <v>565</v>
      </c>
      <c r="B487" s="2" t="n">
        <v>222</v>
      </c>
      <c r="C487" s="2" t="n">
        <v>12</v>
      </c>
      <c r="D487" s="9" t="n">
        <v>46034.725</v>
      </c>
      <c r="E487" s="10" t="n">
        <f aca="false">INT(D487)</f>
        <v>46034</v>
      </c>
      <c r="F487" s="2" t="n">
        <v>499</v>
      </c>
      <c r="G487" s="2" t="s">
        <v>57</v>
      </c>
      <c r="H487" s="2" t="s">
        <v>90</v>
      </c>
      <c r="I487" s="2" t="n">
        <v>87</v>
      </c>
      <c r="J487" s="2" t="str">
        <f aca="false">IFERROR(VLOOKUP($C487,merchants!$A$2:$D$41,2,FALSE()),"Merchant not found")</f>
        <v>Merchant_012</v>
      </c>
      <c r="K487" s="2" t="str">
        <f aca="false">IFERROR(VLOOKUP($C487,merchants!$A$2:$D$41,3,FALSE()),"Merchant not found")</f>
        <v>ecommerce</v>
      </c>
      <c r="L487" s="2" t="str">
        <f aca="false">IFERROR(VLOOKUP($C487,merchants!$A$2:$D$41,4,FALSE()),"Merchant not found")</f>
        <v>East</v>
      </c>
      <c r="M487" s="2" t="n">
        <f aca="false">SUMIFS($F$2:$F$548,$C$2:$C$548,C487,$E$2:$E$548,E487)</f>
        <v>1998</v>
      </c>
      <c r="N487" s="2" t="str">
        <f aca="false">IF(AND(M487&gt;5000,L487&lt;&gt;"East"),"High-Value Merchant Day","No")</f>
        <v>No</v>
      </c>
    </row>
    <row r="488" customFormat="false" ht="15" hidden="false" customHeight="false" outlineLevel="0" collapsed="false">
      <c r="A488" s="2" t="s">
        <v>566</v>
      </c>
      <c r="B488" s="2" t="n">
        <v>44</v>
      </c>
      <c r="C488" s="2" t="n">
        <v>40</v>
      </c>
      <c r="D488" s="9" t="n">
        <v>46041.8916666667</v>
      </c>
      <c r="E488" s="10" t="n">
        <f aca="false">INT(D488)</f>
        <v>46041</v>
      </c>
      <c r="F488" s="2" t="n">
        <v>499</v>
      </c>
      <c r="G488" s="2" t="s">
        <v>56</v>
      </c>
      <c r="H488" s="2" t="s">
        <v>78</v>
      </c>
      <c r="I488" s="2" t="n">
        <v>37</v>
      </c>
      <c r="J488" s="2" t="str">
        <f aca="false">IFERROR(VLOOKUP($C488,merchants!$A$2:$D$41,2,FALSE()),"Merchant not found")</f>
        <v>Merchant_040</v>
      </c>
      <c r="K488" s="2" t="str">
        <f aca="false">IFERROR(VLOOKUP($C488,merchants!$A$2:$D$41,3,FALSE()),"Merchant not found")</f>
        <v>entertainment</v>
      </c>
      <c r="L488" s="2" t="str">
        <f aca="false">IFERROR(VLOOKUP($C488,merchants!$A$2:$D$41,4,FALSE()),"Merchant not found")</f>
        <v>South</v>
      </c>
      <c r="M488" s="2" t="n">
        <f aca="false">SUMIFS($F$2:$F$548,$C$2:$C$548,C488,$E$2:$E$548,E488)</f>
        <v>648</v>
      </c>
      <c r="N488" s="2" t="str">
        <f aca="false">IF(AND(M488&gt;5000,L488&lt;&gt;"East"),"High-Value Merchant Day","No")</f>
        <v>No</v>
      </c>
    </row>
    <row r="489" customFormat="false" ht="15" hidden="false" customHeight="false" outlineLevel="0" collapsed="false">
      <c r="A489" s="2" t="s">
        <v>567</v>
      </c>
      <c r="B489" s="2" t="n">
        <v>38</v>
      </c>
      <c r="C489" s="2" t="n">
        <v>6</v>
      </c>
      <c r="D489" s="9" t="n">
        <v>46048.3229166667</v>
      </c>
      <c r="E489" s="10" t="n">
        <f aca="false">INT(D489)</f>
        <v>46048</v>
      </c>
      <c r="F489" s="2" t="n">
        <v>49</v>
      </c>
      <c r="G489" s="2" t="s">
        <v>57</v>
      </c>
      <c r="H489" s="2" t="s">
        <v>78</v>
      </c>
      <c r="I489" s="2" t="n">
        <v>34</v>
      </c>
      <c r="J489" s="2" t="str">
        <f aca="false">IFERROR(VLOOKUP($C489,merchants!$A$2:$D$41,2,FALSE()),"Merchant not found")</f>
        <v>Merchant_006</v>
      </c>
      <c r="K489" s="2" t="str">
        <f aca="false">IFERROR(VLOOKUP($C489,merchants!$A$2:$D$41,3,FALSE()),"Merchant not found")</f>
        <v>food_delivery</v>
      </c>
      <c r="L489" s="2" t="str">
        <f aca="false">IFERROR(VLOOKUP($C489,merchants!$A$2:$D$41,4,FALSE()),"Merchant not found")</f>
        <v>South</v>
      </c>
      <c r="M489" s="2" t="n">
        <f aca="false">SUMIFS($F$2:$F$548,$C$2:$C$548,C489,$E$2:$E$548,E489)</f>
        <v>897</v>
      </c>
      <c r="N489" s="2" t="str">
        <f aca="false">IF(AND(M489&gt;5000,L489&lt;&gt;"East"),"High-Value Merchant Day","No")</f>
        <v>No</v>
      </c>
    </row>
    <row r="490" customFormat="false" ht="15" hidden="false" customHeight="false" outlineLevel="0" collapsed="false">
      <c r="A490" s="2" t="s">
        <v>568</v>
      </c>
      <c r="B490" s="2" t="n">
        <v>325</v>
      </c>
      <c r="C490" s="2" t="n">
        <v>10</v>
      </c>
      <c r="D490" s="9" t="n">
        <v>46027.53125</v>
      </c>
      <c r="E490" s="10" t="n">
        <f aca="false">INT(D490)</f>
        <v>46027</v>
      </c>
      <c r="F490" s="2" t="n">
        <v>49</v>
      </c>
      <c r="G490" s="2" t="s">
        <v>59</v>
      </c>
      <c r="H490" s="2" t="s">
        <v>103</v>
      </c>
      <c r="I490" s="2" t="n">
        <v>94</v>
      </c>
      <c r="J490" s="2" t="str">
        <f aca="false">IFERROR(VLOOKUP($C490,merchants!$A$2:$D$41,2,FALSE()),"Merchant not found")</f>
        <v>Merchant_010</v>
      </c>
      <c r="K490" s="2" t="str">
        <f aca="false">IFERROR(VLOOKUP($C490,merchants!$A$2:$D$41,3,FALSE()),"Merchant not found")</f>
        <v>grocery</v>
      </c>
      <c r="L490" s="2" t="str">
        <f aca="false">IFERROR(VLOOKUP($C490,merchants!$A$2:$D$41,4,FALSE()),"Merchant not found")</f>
        <v>West</v>
      </c>
      <c r="M490" s="2" t="n">
        <f aca="false">SUMIFS($F$2:$F$548,$C$2:$C$548,C490,$E$2:$E$548,E490)</f>
        <v>49</v>
      </c>
      <c r="N490" s="2" t="str">
        <f aca="false">IF(AND(M490&gt;5000,L490&lt;&gt;"East"),"High-Value Merchant Day","No")</f>
        <v>No</v>
      </c>
    </row>
    <row r="491" customFormat="false" ht="15" hidden="false" customHeight="false" outlineLevel="0" collapsed="false">
      <c r="A491" s="2" t="s">
        <v>569</v>
      </c>
      <c r="B491" s="2" t="n">
        <v>55</v>
      </c>
      <c r="C491" s="2" t="n">
        <v>6</v>
      </c>
      <c r="D491" s="9" t="n">
        <v>46035.4326388889</v>
      </c>
      <c r="E491" s="10" t="n">
        <f aca="false">INT(D491)</f>
        <v>46035</v>
      </c>
      <c r="F491" s="2" t="n">
        <v>1499</v>
      </c>
      <c r="G491" s="2" t="s">
        <v>58</v>
      </c>
      <c r="H491" s="2" t="s">
        <v>78</v>
      </c>
      <c r="I491" s="2" t="n">
        <v>0</v>
      </c>
      <c r="J491" s="2" t="str">
        <f aca="false">IFERROR(VLOOKUP($C491,merchants!$A$2:$D$41,2,FALSE()),"Merchant not found")</f>
        <v>Merchant_006</v>
      </c>
      <c r="K491" s="2" t="str">
        <f aca="false">IFERROR(VLOOKUP($C491,merchants!$A$2:$D$41,3,FALSE()),"Merchant not found")</f>
        <v>food_delivery</v>
      </c>
      <c r="L491" s="2" t="str">
        <f aca="false">IFERROR(VLOOKUP($C491,merchants!$A$2:$D$41,4,FALSE()),"Merchant not found")</f>
        <v>South</v>
      </c>
      <c r="M491" s="2" t="n">
        <f aca="false">SUMIFS($F$2:$F$548,$C$2:$C$548,C491,$E$2:$E$548,E491)</f>
        <v>1499</v>
      </c>
      <c r="N491" s="2" t="str">
        <f aca="false">IF(AND(M491&gt;5000,L491&lt;&gt;"East"),"High-Value Merchant Day","No")</f>
        <v>No</v>
      </c>
    </row>
    <row r="492" customFormat="false" ht="15" hidden="false" customHeight="false" outlineLevel="0" collapsed="false">
      <c r="A492" s="2" t="s">
        <v>570</v>
      </c>
      <c r="B492" s="2" t="n">
        <v>139</v>
      </c>
      <c r="C492" s="2" t="n">
        <v>7</v>
      </c>
      <c r="D492" s="9" t="n">
        <v>46032.5993055556</v>
      </c>
      <c r="E492" s="10" t="n">
        <f aca="false">INT(D492)</f>
        <v>46032</v>
      </c>
      <c r="F492" s="2" t="n">
        <v>499</v>
      </c>
      <c r="G492" s="2" t="s">
        <v>58</v>
      </c>
      <c r="H492" s="2" t="s">
        <v>78</v>
      </c>
      <c r="I492" s="2" t="n">
        <v>16</v>
      </c>
      <c r="J492" s="2" t="str">
        <f aca="false">IFERROR(VLOOKUP($C492,merchants!$A$2:$D$41,2,FALSE()),"Merchant not found")</f>
        <v>Merchant_007</v>
      </c>
      <c r="K492" s="2" t="str">
        <f aca="false">IFERROR(VLOOKUP($C492,merchants!$A$2:$D$41,3,FALSE()),"Merchant not found")</f>
        <v>food_delivery</v>
      </c>
      <c r="L492" s="2" t="str">
        <f aca="false">IFERROR(VLOOKUP($C492,merchants!$A$2:$D$41,4,FALSE()),"Merchant not found")</f>
        <v>East</v>
      </c>
      <c r="M492" s="2" t="n">
        <f aca="false">SUMIFS($F$2:$F$548,$C$2:$C$548,C492,$E$2:$E$548,E492)</f>
        <v>499</v>
      </c>
      <c r="N492" s="2" t="str">
        <f aca="false">IF(AND(M492&gt;5000,L492&lt;&gt;"East"),"High-Value Merchant Day","No")</f>
        <v>No</v>
      </c>
    </row>
    <row r="493" customFormat="false" ht="15" hidden="false" customHeight="false" outlineLevel="0" collapsed="false">
      <c r="A493" s="2" t="s">
        <v>571</v>
      </c>
      <c r="B493" s="2" t="n">
        <v>230</v>
      </c>
      <c r="C493" s="2" t="n">
        <v>36</v>
      </c>
      <c r="D493" s="9" t="n">
        <v>46025.2270833333</v>
      </c>
      <c r="E493" s="10" t="n">
        <f aca="false">INT(D493)</f>
        <v>46025</v>
      </c>
      <c r="F493" s="2" t="n">
        <v>99</v>
      </c>
      <c r="G493" s="2" t="s">
        <v>57</v>
      </c>
      <c r="H493" s="2" t="s">
        <v>78</v>
      </c>
      <c r="I493" s="2" t="n">
        <v>71</v>
      </c>
      <c r="J493" s="2" t="str">
        <f aca="false">IFERROR(VLOOKUP($C493,merchants!$A$2:$D$41,2,FALSE()),"Merchant not found")</f>
        <v>Merchant_036</v>
      </c>
      <c r="K493" s="2" t="str">
        <f aca="false">IFERROR(VLOOKUP($C493,merchants!$A$2:$D$41,3,FALSE()),"Merchant not found")</f>
        <v>entertainment</v>
      </c>
      <c r="L493" s="2" t="str">
        <f aca="false">IFERROR(VLOOKUP($C493,merchants!$A$2:$D$41,4,FALSE()),"Merchant not found")</f>
        <v>East</v>
      </c>
      <c r="M493" s="2" t="n">
        <f aca="false">SUMIFS($F$2:$F$548,$C$2:$C$548,C493,$E$2:$E$548,E493)</f>
        <v>248</v>
      </c>
      <c r="N493" s="2" t="str">
        <f aca="false">IF(AND(M493&gt;5000,L493&lt;&gt;"East"),"High-Value Merchant Day","No")</f>
        <v>No</v>
      </c>
    </row>
    <row r="494" customFormat="false" ht="15" hidden="false" customHeight="false" outlineLevel="0" collapsed="false">
      <c r="A494" s="2" t="s">
        <v>572</v>
      </c>
      <c r="B494" s="2" t="n">
        <v>14</v>
      </c>
      <c r="C494" s="2" t="n">
        <v>6</v>
      </c>
      <c r="D494" s="9" t="n">
        <v>46039.5458333333</v>
      </c>
      <c r="E494" s="10" t="n">
        <f aca="false">INT(D494)</f>
        <v>46039</v>
      </c>
      <c r="F494" s="2" t="n">
        <v>799</v>
      </c>
      <c r="G494" s="2" t="s">
        <v>58</v>
      </c>
      <c r="H494" s="2" t="s">
        <v>78</v>
      </c>
      <c r="I494" s="2" t="n">
        <v>45</v>
      </c>
      <c r="J494" s="2" t="str">
        <f aca="false">IFERROR(VLOOKUP($C494,merchants!$A$2:$D$41,2,FALSE()),"Merchant not found")</f>
        <v>Merchant_006</v>
      </c>
      <c r="K494" s="2" t="str">
        <f aca="false">IFERROR(VLOOKUP($C494,merchants!$A$2:$D$41,3,FALSE()),"Merchant not found")</f>
        <v>food_delivery</v>
      </c>
      <c r="L494" s="2" t="str">
        <f aca="false">IFERROR(VLOOKUP($C494,merchants!$A$2:$D$41,4,FALSE()),"Merchant not found")</f>
        <v>South</v>
      </c>
      <c r="M494" s="2" t="n">
        <f aca="false">SUMIFS($F$2:$F$548,$C$2:$C$548,C494,$E$2:$E$548,E494)</f>
        <v>799</v>
      </c>
      <c r="N494" s="2" t="str">
        <f aca="false">IF(AND(M494&gt;5000,L494&lt;&gt;"East"),"High-Value Merchant Day","No")</f>
        <v>No</v>
      </c>
    </row>
    <row r="495" customFormat="false" ht="15" hidden="false" customHeight="false" outlineLevel="0" collapsed="false">
      <c r="A495" s="2" t="s">
        <v>573</v>
      </c>
      <c r="B495" s="2" t="n">
        <v>307</v>
      </c>
      <c r="C495" s="2" t="n">
        <v>21</v>
      </c>
      <c r="D495" s="9" t="n">
        <v>46040.1097222222</v>
      </c>
      <c r="E495" s="10" t="n">
        <f aca="false">INT(D495)</f>
        <v>46040</v>
      </c>
      <c r="F495" s="2" t="n">
        <v>799</v>
      </c>
      <c r="G495" s="2" t="s">
        <v>56</v>
      </c>
      <c r="H495" s="2" t="s">
        <v>78</v>
      </c>
      <c r="I495" s="2" t="n">
        <v>49</v>
      </c>
      <c r="J495" s="2" t="str">
        <f aca="false">IFERROR(VLOOKUP($C495,merchants!$A$2:$D$41,2,FALSE()),"Merchant not found")</f>
        <v>Merchant_021</v>
      </c>
      <c r="K495" s="2" t="str">
        <f aca="false">IFERROR(VLOOKUP($C495,merchants!$A$2:$D$41,3,FALSE()),"Merchant not found")</f>
        <v>food_delivery</v>
      </c>
      <c r="L495" s="2" t="str">
        <f aca="false">IFERROR(VLOOKUP($C495,merchants!$A$2:$D$41,4,FALSE()),"Merchant not found")</f>
        <v>East</v>
      </c>
      <c r="M495" s="2" t="n">
        <f aca="false">SUMIFS($F$2:$F$548,$C$2:$C$548,C495,$E$2:$E$548,E495)</f>
        <v>799</v>
      </c>
      <c r="N495" s="2" t="str">
        <f aca="false">IF(AND(M495&gt;5000,L495&lt;&gt;"East"),"High-Value Merchant Day","No")</f>
        <v>No</v>
      </c>
    </row>
    <row r="496" customFormat="false" ht="15" hidden="false" customHeight="false" outlineLevel="0" collapsed="false">
      <c r="A496" s="2" t="s">
        <v>574</v>
      </c>
      <c r="B496" s="2" t="n">
        <v>199</v>
      </c>
      <c r="C496" s="2" t="n">
        <v>6</v>
      </c>
      <c r="D496" s="9" t="n">
        <v>46023.3930555556</v>
      </c>
      <c r="E496" s="10" t="n">
        <f aca="false">INT(D496)</f>
        <v>46023</v>
      </c>
      <c r="F496" s="2" t="n">
        <v>49</v>
      </c>
      <c r="G496" s="2" t="s">
        <v>56</v>
      </c>
      <c r="H496" s="2" t="s">
        <v>78</v>
      </c>
      <c r="I496" s="2" t="n">
        <v>92</v>
      </c>
      <c r="J496" s="2" t="str">
        <f aca="false">IFERROR(VLOOKUP($C496,merchants!$A$2:$D$41,2,FALSE()),"Merchant not found")</f>
        <v>Merchant_006</v>
      </c>
      <c r="K496" s="2" t="str">
        <f aca="false">IFERROR(VLOOKUP($C496,merchants!$A$2:$D$41,3,FALSE()),"Merchant not found")</f>
        <v>food_delivery</v>
      </c>
      <c r="L496" s="2" t="str">
        <f aca="false">IFERROR(VLOOKUP($C496,merchants!$A$2:$D$41,4,FALSE()),"Merchant not found")</f>
        <v>South</v>
      </c>
      <c r="M496" s="2" t="n">
        <f aca="false">SUMIFS($F$2:$F$548,$C$2:$C$548,C496,$E$2:$E$548,E496)</f>
        <v>49</v>
      </c>
      <c r="N496" s="2" t="str">
        <f aca="false">IF(AND(M496&gt;5000,L496&lt;&gt;"East"),"High-Value Merchant Day","No")</f>
        <v>No</v>
      </c>
    </row>
    <row r="497" customFormat="false" ht="15" hidden="false" customHeight="false" outlineLevel="0" collapsed="false">
      <c r="A497" s="2" t="s">
        <v>575</v>
      </c>
      <c r="B497" s="2" t="n">
        <v>125</v>
      </c>
      <c r="C497" s="2" t="n">
        <v>37</v>
      </c>
      <c r="D497" s="9" t="n">
        <v>46051.7479166667</v>
      </c>
      <c r="E497" s="10" t="n">
        <f aca="false">INT(D497)</f>
        <v>46051</v>
      </c>
      <c r="F497" s="2" t="n">
        <v>149</v>
      </c>
      <c r="G497" s="2" t="s">
        <v>57</v>
      </c>
      <c r="H497" s="2" t="s">
        <v>78</v>
      </c>
      <c r="I497" s="2" t="n">
        <v>66</v>
      </c>
      <c r="J497" s="2" t="str">
        <f aca="false">IFERROR(VLOOKUP($C497,merchants!$A$2:$D$41,2,FALSE()),"Merchant not found")</f>
        <v>Merchant_037</v>
      </c>
      <c r="K497" s="2" t="str">
        <f aca="false">IFERROR(VLOOKUP($C497,merchants!$A$2:$D$41,3,FALSE()),"Merchant not found")</f>
        <v>entertainment</v>
      </c>
      <c r="L497" s="2" t="str">
        <f aca="false">IFERROR(VLOOKUP($C497,merchants!$A$2:$D$41,4,FALSE()),"Merchant not found")</f>
        <v>South</v>
      </c>
      <c r="M497" s="2" t="n">
        <f aca="false">SUMIFS($F$2:$F$548,$C$2:$C$548,C497,$E$2:$E$548,E497)</f>
        <v>149</v>
      </c>
      <c r="N497" s="2" t="str">
        <f aca="false">IF(AND(M497&gt;5000,L497&lt;&gt;"East"),"High-Value Merchant Day","No")</f>
        <v>No</v>
      </c>
    </row>
    <row r="498" customFormat="false" ht="15" hidden="false" customHeight="false" outlineLevel="0" collapsed="false">
      <c r="A498" s="2" t="s">
        <v>576</v>
      </c>
      <c r="B498" s="2" t="n">
        <v>87</v>
      </c>
      <c r="C498" s="2" t="n">
        <v>9</v>
      </c>
      <c r="D498" s="9" t="n">
        <v>46028.8916666667</v>
      </c>
      <c r="E498" s="10" t="n">
        <f aca="false">INT(D498)</f>
        <v>46028</v>
      </c>
      <c r="F498" s="2" t="n">
        <v>149</v>
      </c>
      <c r="G498" s="2" t="s">
        <v>56</v>
      </c>
      <c r="H498" s="2" t="s">
        <v>78</v>
      </c>
      <c r="I498" s="2" t="n">
        <v>34</v>
      </c>
      <c r="J498" s="2" t="str">
        <f aca="false">IFERROR(VLOOKUP($C498,merchants!$A$2:$D$41,2,FALSE()),"Merchant not found")</f>
        <v>Merchant_009</v>
      </c>
      <c r="K498" s="2" t="str">
        <f aca="false">IFERROR(VLOOKUP($C498,merchants!$A$2:$D$41,3,FALSE()),"Merchant not found")</f>
        <v>ecommerce</v>
      </c>
      <c r="L498" s="2" t="str">
        <f aca="false">IFERROR(VLOOKUP($C498,merchants!$A$2:$D$41,4,FALSE()),"Merchant not found")</f>
        <v>North</v>
      </c>
      <c r="M498" s="2" t="n">
        <f aca="false">SUMIFS($F$2:$F$548,$C$2:$C$548,C498,$E$2:$E$548,E498)</f>
        <v>149</v>
      </c>
      <c r="N498" s="2" t="str">
        <f aca="false">IF(AND(M498&gt;5000,L498&lt;&gt;"East"),"High-Value Merchant Day","No")</f>
        <v>No</v>
      </c>
    </row>
    <row r="499" customFormat="false" ht="15" hidden="false" customHeight="false" outlineLevel="0" collapsed="false">
      <c r="A499" s="2" t="s">
        <v>577</v>
      </c>
      <c r="B499" s="2" t="n">
        <v>75</v>
      </c>
      <c r="C499" s="2" t="n">
        <v>5</v>
      </c>
      <c r="D499" s="9" t="n">
        <v>46032.3548611111</v>
      </c>
      <c r="E499" s="10" t="n">
        <f aca="false">INT(D499)</f>
        <v>46032</v>
      </c>
      <c r="F499" s="2" t="n">
        <v>99</v>
      </c>
      <c r="G499" s="2" t="s">
        <v>56</v>
      </c>
      <c r="H499" s="2" t="s">
        <v>78</v>
      </c>
      <c r="I499" s="2" t="n">
        <v>21</v>
      </c>
      <c r="J499" s="2" t="str">
        <f aca="false">IFERROR(VLOOKUP($C499,merchants!$A$2:$D$41,2,FALSE()),"Merchant not found")</f>
        <v>Merchant_005</v>
      </c>
      <c r="K499" s="2" t="str">
        <f aca="false">IFERROR(VLOOKUP($C499,merchants!$A$2:$D$41,3,FALSE()),"Merchant not found")</f>
        <v>recharge</v>
      </c>
      <c r="L499" s="2" t="str">
        <f aca="false">IFERROR(VLOOKUP($C499,merchants!$A$2:$D$41,4,FALSE()),"Merchant not found")</f>
        <v>South</v>
      </c>
      <c r="M499" s="2" t="n">
        <f aca="false">SUMIFS($F$2:$F$548,$C$2:$C$548,C499,$E$2:$E$548,E499)</f>
        <v>99</v>
      </c>
      <c r="N499" s="2" t="str">
        <f aca="false">IF(AND(M499&gt;5000,L499&lt;&gt;"East"),"High-Value Merchant Day","No")</f>
        <v>No</v>
      </c>
    </row>
    <row r="500" customFormat="false" ht="15" hidden="false" customHeight="false" outlineLevel="0" collapsed="false">
      <c r="A500" s="2" t="s">
        <v>578</v>
      </c>
      <c r="B500" s="2" t="n">
        <v>154</v>
      </c>
      <c r="C500" s="2" t="n">
        <v>31</v>
      </c>
      <c r="D500" s="9" t="n">
        <v>46036.3513888889</v>
      </c>
      <c r="E500" s="10" t="n">
        <f aca="false">INT(D500)</f>
        <v>46036</v>
      </c>
      <c r="F500" s="2" t="n">
        <v>499</v>
      </c>
      <c r="G500" s="2" t="s">
        <v>57</v>
      </c>
      <c r="H500" s="2" t="s">
        <v>78</v>
      </c>
      <c r="I500" s="2" t="n">
        <v>100</v>
      </c>
      <c r="J500" s="2" t="str">
        <f aca="false">IFERROR(VLOOKUP($C500,merchants!$A$2:$D$41,2,FALSE()),"Merchant not found")</f>
        <v>Merchant_031</v>
      </c>
      <c r="K500" s="2" t="str">
        <f aca="false">IFERROR(VLOOKUP($C500,merchants!$A$2:$D$41,3,FALSE()),"Merchant not found")</f>
        <v>bill_payment</v>
      </c>
      <c r="L500" s="2" t="str">
        <f aca="false">IFERROR(VLOOKUP($C500,merchants!$A$2:$D$41,4,FALSE()),"Merchant not found")</f>
        <v>East</v>
      </c>
      <c r="M500" s="2" t="n">
        <f aca="false">SUMIFS($F$2:$F$548,$C$2:$C$548,C500,$E$2:$E$548,E500)</f>
        <v>499</v>
      </c>
      <c r="N500" s="2" t="str">
        <f aca="false">IF(AND(M500&gt;5000,L500&lt;&gt;"East"),"High-Value Merchant Day","No")</f>
        <v>No</v>
      </c>
    </row>
    <row r="501" customFormat="false" ht="15" hidden="false" customHeight="false" outlineLevel="0" collapsed="false">
      <c r="A501" s="2" t="s">
        <v>579</v>
      </c>
      <c r="B501" s="2" t="n">
        <v>127</v>
      </c>
      <c r="C501" s="2" t="n">
        <v>32</v>
      </c>
      <c r="D501" s="9" t="n">
        <v>46025.4694444445</v>
      </c>
      <c r="E501" s="10" t="n">
        <f aca="false">INT(D501)</f>
        <v>46025</v>
      </c>
      <c r="F501" s="2" t="n">
        <v>149</v>
      </c>
      <c r="G501" s="2" t="s">
        <v>58</v>
      </c>
      <c r="H501" s="2" t="s">
        <v>78</v>
      </c>
      <c r="I501" s="2" t="n">
        <v>76</v>
      </c>
      <c r="J501" s="2" t="str">
        <f aca="false">IFERROR(VLOOKUP($C501,merchants!$A$2:$D$41,2,FALSE()),"Merchant not found")</f>
        <v>Merchant_032</v>
      </c>
      <c r="K501" s="2" t="str">
        <f aca="false">IFERROR(VLOOKUP($C501,merchants!$A$2:$D$41,3,FALSE()),"Merchant not found")</f>
        <v>food_delivery</v>
      </c>
      <c r="L501" s="2" t="str">
        <f aca="false">IFERROR(VLOOKUP($C501,merchants!$A$2:$D$41,4,FALSE()),"Merchant not found")</f>
        <v>West</v>
      </c>
      <c r="M501" s="2" t="n">
        <f aca="false">SUMIFS($F$2:$F$548,$C$2:$C$548,C501,$E$2:$E$548,E501)</f>
        <v>149</v>
      </c>
      <c r="N501" s="2" t="str">
        <f aca="false">IF(AND(M501&gt;5000,L501&lt;&gt;"East"),"High-Value Merchant Day","No")</f>
        <v>No</v>
      </c>
    </row>
    <row r="502" customFormat="false" ht="15" hidden="false" customHeight="false" outlineLevel="0" collapsed="false">
      <c r="A502" s="2" t="s">
        <v>580</v>
      </c>
      <c r="B502" s="2" t="n">
        <v>351</v>
      </c>
      <c r="C502" s="2" t="n">
        <v>7</v>
      </c>
      <c r="D502" s="9" t="n">
        <v>46052.25</v>
      </c>
      <c r="E502" s="10" t="n">
        <f aca="false">INT(D502)</f>
        <v>46052</v>
      </c>
      <c r="F502" s="2" t="n">
        <v>1999</v>
      </c>
      <c r="G502" s="2" t="s">
        <v>58</v>
      </c>
      <c r="H502" s="2" t="s">
        <v>103</v>
      </c>
      <c r="I502" s="2" t="n">
        <v>79</v>
      </c>
      <c r="J502" s="2" t="str">
        <f aca="false">IFERROR(VLOOKUP($C502,merchants!$A$2:$D$41,2,FALSE()),"Merchant not found")</f>
        <v>Merchant_007</v>
      </c>
      <c r="K502" s="2" t="str">
        <f aca="false">IFERROR(VLOOKUP($C502,merchants!$A$2:$D$41,3,FALSE()),"Merchant not found")</f>
        <v>food_delivery</v>
      </c>
      <c r="L502" s="2" t="str">
        <f aca="false">IFERROR(VLOOKUP($C502,merchants!$A$2:$D$41,4,FALSE()),"Merchant not found")</f>
        <v>East</v>
      </c>
      <c r="M502" s="2" t="n">
        <f aca="false">SUMIFS($F$2:$F$548,$C$2:$C$548,C502,$E$2:$E$548,E502)</f>
        <v>1999</v>
      </c>
      <c r="N502" s="2" t="str">
        <f aca="false">IF(AND(M502&gt;5000,L502&lt;&gt;"East"),"High-Value Merchant Day","No")</f>
        <v>No</v>
      </c>
    </row>
    <row r="503" customFormat="false" ht="15" hidden="false" customHeight="false" outlineLevel="0" collapsed="false">
      <c r="A503" s="2" t="s">
        <v>581</v>
      </c>
      <c r="B503" s="2" t="n">
        <v>352</v>
      </c>
      <c r="C503" s="2" t="n">
        <v>40</v>
      </c>
      <c r="D503" s="9" t="n">
        <v>46033.5</v>
      </c>
      <c r="E503" s="10" t="n">
        <f aca="false">INT(D503)</f>
        <v>46033</v>
      </c>
      <c r="F503" s="2" t="n">
        <v>4999</v>
      </c>
      <c r="G503" s="2" t="s">
        <v>58</v>
      </c>
      <c r="H503" s="2" t="s">
        <v>103</v>
      </c>
      <c r="I503" s="2" t="n">
        <v>95</v>
      </c>
      <c r="J503" s="2" t="str">
        <f aca="false">IFERROR(VLOOKUP($C503,merchants!$A$2:$D$41,2,FALSE()),"Merchant not found")</f>
        <v>Merchant_040</v>
      </c>
      <c r="K503" s="2" t="str">
        <f aca="false">IFERROR(VLOOKUP($C503,merchants!$A$2:$D$41,3,FALSE()),"Merchant not found")</f>
        <v>entertainment</v>
      </c>
      <c r="L503" s="2" t="str">
        <f aca="false">IFERROR(VLOOKUP($C503,merchants!$A$2:$D$41,4,FALSE()),"Merchant not found")</f>
        <v>South</v>
      </c>
      <c r="M503" s="2" t="n">
        <f aca="false">SUMIFS($F$2:$F$548,$C$2:$C$548,C503,$E$2:$E$548,E503)</f>
        <v>4999</v>
      </c>
      <c r="N503" s="2" t="str">
        <f aca="false">IF(AND(M503&gt;5000,L503&lt;&gt;"East"),"High-Value Merchant Day","No")</f>
        <v>No</v>
      </c>
    </row>
    <row r="504" customFormat="false" ht="15" hidden="false" customHeight="false" outlineLevel="0" collapsed="false">
      <c r="A504" s="2" t="s">
        <v>582</v>
      </c>
      <c r="B504" s="2" t="n">
        <v>353</v>
      </c>
      <c r="C504" s="2" t="n">
        <v>28</v>
      </c>
      <c r="D504" s="9" t="n">
        <v>46043.5833333333</v>
      </c>
      <c r="E504" s="10" t="n">
        <f aca="false">INT(D504)</f>
        <v>46043</v>
      </c>
      <c r="F504" s="2" t="n">
        <v>1999</v>
      </c>
      <c r="G504" s="2" t="s">
        <v>58</v>
      </c>
      <c r="H504" s="2" t="s">
        <v>103</v>
      </c>
      <c r="I504" s="2" t="n">
        <v>79</v>
      </c>
      <c r="J504" s="2" t="str">
        <f aca="false">IFERROR(VLOOKUP($C504,merchants!$A$2:$D$41,2,FALSE()),"Merchant not found")</f>
        <v>Merchant_028</v>
      </c>
      <c r="K504" s="2" t="str">
        <f aca="false">IFERROR(VLOOKUP($C504,merchants!$A$2:$D$41,3,FALSE()),"Merchant not found")</f>
        <v>ecommerce</v>
      </c>
      <c r="L504" s="2" t="str">
        <f aca="false">IFERROR(VLOOKUP($C504,merchants!$A$2:$D$41,4,FALSE()),"Merchant not found")</f>
        <v>South</v>
      </c>
      <c r="M504" s="2" t="n">
        <f aca="false">SUMIFS($F$2:$F$548,$C$2:$C$548,C504,$E$2:$E$548,E504)</f>
        <v>1999</v>
      </c>
      <c r="N504" s="2" t="str">
        <f aca="false">IF(AND(M504&gt;5000,L504&lt;&gt;"East"),"High-Value Merchant Day","No")</f>
        <v>No</v>
      </c>
    </row>
    <row r="505" customFormat="false" ht="15" hidden="false" customHeight="false" outlineLevel="0" collapsed="false">
      <c r="A505" s="2" t="s">
        <v>583</v>
      </c>
      <c r="B505" s="2" t="n">
        <v>354</v>
      </c>
      <c r="C505" s="2" t="n">
        <v>13</v>
      </c>
      <c r="D505" s="9" t="n">
        <v>46043.7916666667</v>
      </c>
      <c r="E505" s="10" t="n">
        <f aca="false">INT(D505)</f>
        <v>46043</v>
      </c>
      <c r="F505" s="2" t="n">
        <v>4999</v>
      </c>
      <c r="G505" s="2" t="s">
        <v>58</v>
      </c>
      <c r="H505" s="2" t="s">
        <v>103</v>
      </c>
      <c r="I505" s="2" t="n">
        <v>80</v>
      </c>
      <c r="J505" s="2" t="str">
        <f aca="false">IFERROR(VLOOKUP($C505,merchants!$A$2:$D$41,2,FALSE()),"Merchant not found")</f>
        <v>Merchant_013</v>
      </c>
      <c r="K505" s="2" t="str">
        <f aca="false">IFERROR(VLOOKUP($C505,merchants!$A$2:$D$41,3,FALSE()),"Merchant not found")</f>
        <v>travel</v>
      </c>
      <c r="L505" s="2" t="str">
        <f aca="false">IFERROR(VLOOKUP($C505,merchants!$A$2:$D$41,4,FALSE()),"Merchant not found")</f>
        <v>East</v>
      </c>
      <c r="M505" s="2" t="n">
        <f aca="false">SUMIFS($F$2:$F$548,$C$2:$C$548,C505,$E$2:$E$548,E505)</f>
        <v>4999</v>
      </c>
      <c r="N505" s="2" t="str">
        <f aca="false">IF(AND(M505&gt;5000,L505&lt;&gt;"East"),"High-Value Merchant Day","No")</f>
        <v>No</v>
      </c>
    </row>
    <row r="506" customFormat="false" ht="15" hidden="false" customHeight="false" outlineLevel="0" collapsed="false">
      <c r="A506" s="2" t="s">
        <v>584</v>
      </c>
      <c r="B506" s="2" t="n">
        <v>355</v>
      </c>
      <c r="C506" s="2" t="n">
        <v>19</v>
      </c>
      <c r="D506" s="9" t="n">
        <v>46038.5</v>
      </c>
      <c r="E506" s="10" t="n">
        <f aca="false">INT(D506)</f>
        <v>46038</v>
      </c>
      <c r="F506" s="2" t="n">
        <v>4999</v>
      </c>
      <c r="G506" s="2" t="s">
        <v>58</v>
      </c>
      <c r="H506" s="2" t="s">
        <v>103</v>
      </c>
      <c r="I506" s="2" t="n">
        <v>100</v>
      </c>
      <c r="J506" s="2" t="str">
        <f aca="false">IFERROR(VLOOKUP($C506,merchants!$A$2:$D$41,2,FALSE()),"Merchant not found")</f>
        <v>Merchant_019</v>
      </c>
      <c r="K506" s="2" t="str">
        <f aca="false">IFERROR(VLOOKUP($C506,merchants!$A$2:$D$41,3,FALSE()),"Merchant not found")</f>
        <v>grocery</v>
      </c>
      <c r="L506" s="2" t="str">
        <f aca="false">IFERROR(VLOOKUP($C506,merchants!$A$2:$D$41,4,FALSE()),"Merchant not found")</f>
        <v>North</v>
      </c>
      <c r="M506" s="2" t="n">
        <f aca="false">SUMIFS($F$2:$F$548,$C$2:$C$548,C506,$E$2:$E$548,E506)</f>
        <v>4999</v>
      </c>
      <c r="N506" s="2" t="str">
        <f aca="false">IF(AND(M506&gt;5000,L506&lt;&gt;"East"),"High-Value Merchant Day","No")</f>
        <v>No</v>
      </c>
    </row>
    <row r="507" customFormat="false" ht="15" hidden="false" customHeight="false" outlineLevel="0" collapsed="false">
      <c r="A507" s="2" t="s">
        <v>585</v>
      </c>
      <c r="B507" s="2" t="n">
        <v>356</v>
      </c>
      <c r="C507" s="2" t="n">
        <v>25</v>
      </c>
      <c r="D507" s="9" t="n">
        <v>46051.2916666667</v>
      </c>
      <c r="E507" s="10" t="n">
        <f aca="false">INT(D507)</f>
        <v>46051</v>
      </c>
      <c r="F507" s="2" t="n">
        <v>2999</v>
      </c>
      <c r="G507" s="2" t="s">
        <v>58</v>
      </c>
      <c r="H507" s="2" t="s">
        <v>103</v>
      </c>
      <c r="I507" s="2" t="n">
        <v>96</v>
      </c>
      <c r="J507" s="2" t="str">
        <f aca="false">IFERROR(VLOOKUP($C507,merchants!$A$2:$D$41,2,FALSE()),"Merchant not found")</f>
        <v>Merchant_025</v>
      </c>
      <c r="K507" s="2" t="str">
        <f aca="false">IFERROR(VLOOKUP($C507,merchants!$A$2:$D$41,3,FALSE()),"Merchant not found")</f>
        <v>travel</v>
      </c>
      <c r="L507" s="2" t="str">
        <f aca="false">IFERROR(VLOOKUP($C507,merchants!$A$2:$D$41,4,FALSE()),"Merchant not found")</f>
        <v>South</v>
      </c>
      <c r="M507" s="2" t="n">
        <f aca="false">SUMIFS($F$2:$F$548,$C$2:$C$548,C507,$E$2:$E$548,E507)</f>
        <v>3048</v>
      </c>
      <c r="N507" s="2" t="str">
        <f aca="false">IF(AND(M507&gt;5000,L507&lt;&gt;"East"),"High-Value Merchant Day","No")</f>
        <v>No</v>
      </c>
    </row>
    <row r="508" customFormat="false" ht="15" hidden="false" customHeight="false" outlineLevel="0" collapsed="false">
      <c r="A508" s="2" t="s">
        <v>586</v>
      </c>
      <c r="B508" s="2" t="n">
        <v>357</v>
      </c>
      <c r="C508" s="2" t="n">
        <v>37</v>
      </c>
      <c r="D508" s="9" t="n">
        <v>46045.4583333333</v>
      </c>
      <c r="E508" s="10" t="n">
        <f aca="false">INT(D508)</f>
        <v>46045</v>
      </c>
      <c r="F508" s="2" t="n">
        <v>1999</v>
      </c>
      <c r="G508" s="2" t="s">
        <v>58</v>
      </c>
      <c r="H508" s="2" t="s">
        <v>103</v>
      </c>
      <c r="I508" s="2" t="n">
        <v>88</v>
      </c>
      <c r="J508" s="2" t="str">
        <f aca="false">IFERROR(VLOOKUP($C508,merchants!$A$2:$D$41,2,FALSE()),"Merchant not found")</f>
        <v>Merchant_037</v>
      </c>
      <c r="K508" s="2" t="str">
        <f aca="false">IFERROR(VLOOKUP($C508,merchants!$A$2:$D$41,3,FALSE()),"Merchant not found")</f>
        <v>entertainment</v>
      </c>
      <c r="L508" s="2" t="str">
        <f aca="false">IFERROR(VLOOKUP($C508,merchants!$A$2:$D$41,4,FALSE()),"Merchant not found")</f>
        <v>South</v>
      </c>
      <c r="M508" s="2" t="n">
        <f aca="false">SUMIFS($F$2:$F$548,$C$2:$C$548,C508,$E$2:$E$548,E508)</f>
        <v>1999</v>
      </c>
      <c r="N508" s="2" t="str">
        <f aca="false">IF(AND(M508&gt;5000,L508&lt;&gt;"East"),"High-Value Merchant Day","No")</f>
        <v>No</v>
      </c>
    </row>
    <row r="509" customFormat="false" ht="15" hidden="false" customHeight="false" outlineLevel="0" collapsed="false">
      <c r="A509" s="2" t="s">
        <v>587</v>
      </c>
      <c r="B509" s="2" t="n">
        <v>358</v>
      </c>
      <c r="C509" s="2" t="n">
        <v>36</v>
      </c>
      <c r="D509" s="9" t="n">
        <v>46050.2083333333</v>
      </c>
      <c r="E509" s="10" t="n">
        <f aca="false">INT(D509)</f>
        <v>46050</v>
      </c>
      <c r="F509" s="2" t="n">
        <v>999</v>
      </c>
      <c r="G509" s="2" t="s">
        <v>58</v>
      </c>
      <c r="H509" s="2" t="s">
        <v>103</v>
      </c>
      <c r="I509" s="2" t="n">
        <v>100</v>
      </c>
      <c r="J509" s="2" t="str">
        <f aca="false">IFERROR(VLOOKUP($C509,merchants!$A$2:$D$41,2,FALSE()),"Merchant not found")</f>
        <v>Merchant_036</v>
      </c>
      <c r="K509" s="2" t="str">
        <f aca="false">IFERROR(VLOOKUP($C509,merchants!$A$2:$D$41,3,FALSE()),"Merchant not found")</f>
        <v>entertainment</v>
      </c>
      <c r="L509" s="2" t="str">
        <f aca="false">IFERROR(VLOOKUP($C509,merchants!$A$2:$D$41,4,FALSE()),"Merchant not found")</f>
        <v>East</v>
      </c>
      <c r="M509" s="2" t="n">
        <f aca="false">SUMIFS($F$2:$F$548,$C$2:$C$548,C509,$E$2:$E$548,E509)</f>
        <v>999</v>
      </c>
      <c r="N509" s="2" t="str">
        <f aca="false">IF(AND(M509&gt;5000,L509&lt;&gt;"East"),"High-Value Merchant Day","No")</f>
        <v>No</v>
      </c>
    </row>
    <row r="510" customFormat="false" ht="15" hidden="false" customHeight="false" outlineLevel="0" collapsed="false">
      <c r="A510" s="2" t="s">
        <v>588</v>
      </c>
      <c r="B510" s="2" t="n">
        <v>359</v>
      </c>
      <c r="C510" s="2" t="n">
        <v>29</v>
      </c>
      <c r="D510" s="9" t="n">
        <v>46047.9166666667</v>
      </c>
      <c r="E510" s="10" t="n">
        <f aca="false">INT(D510)</f>
        <v>46047</v>
      </c>
      <c r="F510" s="2" t="n">
        <v>2999</v>
      </c>
      <c r="G510" s="2" t="s">
        <v>58</v>
      </c>
      <c r="H510" s="2" t="s">
        <v>103</v>
      </c>
      <c r="I510" s="2" t="n">
        <v>96</v>
      </c>
      <c r="J510" s="2" t="str">
        <f aca="false">IFERROR(VLOOKUP($C510,merchants!$A$2:$D$41,2,FALSE()),"Merchant not found")</f>
        <v>Merchant_029</v>
      </c>
      <c r="K510" s="2" t="str">
        <f aca="false">IFERROR(VLOOKUP($C510,merchants!$A$2:$D$41,3,FALSE()),"Merchant not found")</f>
        <v>ecommerce</v>
      </c>
      <c r="L510" s="2" t="str">
        <f aca="false">IFERROR(VLOOKUP($C510,merchants!$A$2:$D$41,4,FALSE()),"Merchant not found")</f>
        <v>North</v>
      </c>
      <c r="M510" s="2" t="n">
        <f aca="false">SUMIFS($F$2:$F$548,$C$2:$C$548,C510,$E$2:$E$548,E510)</f>
        <v>3896</v>
      </c>
      <c r="N510" s="2" t="str">
        <f aca="false">IF(AND(M510&gt;5000,L510&lt;&gt;"East"),"High-Value Merchant Day","No")</f>
        <v>No</v>
      </c>
    </row>
    <row r="511" customFormat="false" ht="15" hidden="false" customHeight="false" outlineLevel="0" collapsed="false">
      <c r="A511" s="2" t="s">
        <v>589</v>
      </c>
      <c r="B511" s="2" t="n">
        <v>360</v>
      </c>
      <c r="C511" s="2" t="n">
        <v>32</v>
      </c>
      <c r="D511" s="9" t="n">
        <v>46035.5416666667</v>
      </c>
      <c r="E511" s="10" t="n">
        <f aca="false">INT(D511)</f>
        <v>46035</v>
      </c>
      <c r="F511" s="2" t="n">
        <v>1999</v>
      </c>
      <c r="G511" s="2" t="s">
        <v>58</v>
      </c>
      <c r="H511" s="2" t="s">
        <v>103</v>
      </c>
      <c r="I511" s="2" t="n">
        <v>90</v>
      </c>
      <c r="J511" s="2" t="str">
        <f aca="false">IFERROR(VLOOKUP($C511,merchants!$A$2:$D$41,2,FALSE()),"Merchant not found")</f>
        <v>Merchant_032</v>
      </c>
      <c r="K511" s="2" t="str">
        <f aca="false">IFERROR(VLOOKUP($C511,merchants!$A$2:$D$41,3,FALSE()),"Merchant not found")</f>
        <v>food_delivery</v>
      </c>
      <c r="L511" s="2" t="str">
        <f aca="false">IFERROR(VLOOKUP($C511,merchants!$A$2:$D$41,4,FALSE()),"Merchant not found")</f>
        <v>West</v>
      </c>
      <c r="M511" s="2" t="n">
        <f aca="false">SUMIFS($F$2:$F$548,$C$2:$C$548,C511,$E$2:$E$548,E511)</f>
        <v>1999</v>
      </c>
      <c r="N511" s="2" t="str">
        <f aca="false">IF(AND(M511&gt;5000,L511&lt;&gt;"East"),"High-Value Merchant Day","No")</f>
        <v>No</v>
      </c>
    </row>
    <row r="512" customFormat="false" ht="15" hidden="false" customHeight="false" outlineLevel="0" collapsed="false">
      <c r="A512" s="2" t="s">
        <v>590</v>
      </c>
      <c r="B512" s="2" t="n">
        <v>361</v>
      </c>
      <c r="C512" s="2" t="n">
        <v>10</v>
      </c>
      <c r="D512" s="9" t="n">
        <v>46042.2916666667</v>
      </c>
      <c r="E512" s="10" t="n">
        <f aca="false">INT(D512)</f>
        <v>46042</v>
      </c>
      <c r="F512" s="2" t="n">
        <v>4999</v>
      </c>
      <c r="G512" s="2" t="s">
        <v>58</v>
      </c>
      <c r="H512" s="2" t="s">
        <v>103</v>
      </c>
      <c r="I512" s="2" t="n">
        <v>95</v>
      </c>
      <c r="J512" s="2" t="str">
        <f aca="false">IFERROR(VLOOKUP($C512,merchants!$A$2:$D$41,2,FALSE()),"Merchant not found")</f>
        <v>Merchant_010</v>
      </c>
      <c r="K512" s="2" t="str">
        <f aca="false">IFERROR(VLOOKUP($C512,merchants!$A$2:$D$41,3,FALSE()),"Merchant not found")</f>
        <v>grocery</v>
      </c>
      <c r="L512" s="2" t="str">
        <f aca="false">IFERROR(VLOOKUP($C512,merchants!$A$2:$D$41,4,FALSE()),"Merchant not found")</f>
        <v>West</v>
      </c>
      <c r="M512" s="2" t="n">
        <f aca="false">SUMIFS($F$2:$F$548,$C$2:$C$548,C512,$E$2:$E$548,E512)</f>
        <v>4999</v>
      </c>
      <c r="N512" s="2" t="str">
        <f aca="false">IF(AND(M512&gt;5000,L512&lt;&gt;"East"),"High-Value Merchant Day","No")</f>
        <v>No</v>
      </c>
    </row>
    <row r="513" customFormat="false" ht="15" hidden="false" customHeight="false" outlineLevel="0" collapsed="false">
      <c r="A513" s="2" t="s">
        <v>591</v>
      </c>
      <c r="B513" s="2" t="n">
        <v>362</v>
      </c>
      <c r="C513" s="2" t="n">
        <v>39</v>
      </c>
      <c r="D513" s="9" t="n">
        <v>46045.0833333333</v>
      </c>
      <c r="E513" s="10" t="n">
        <f aca="false">INT(D513)</f>
        <v>46045</v>
      </c>
      <c r="F513" s="2" t="n">
        <v>4999</v>
      </c>
      <c r="G513" s="2" t="s">
        <v>58</v>
      </c>
      <c r="H513" s="2" t="s">
        <v>103</v>
      </c>
      <c r="I513" s="2" t="n">
        <v>88</v>
      </c>
      <c r="J513" s="2" t="str">
        <f aca="false">IFERROR(VLOOKUP($C513,merchants!$A$2:$D$41,2,FALSE()),"Merchant not found")</f>
        <v>Merchant_039</v>
      </c>
      <c r="K513" s="2" t="str">
        <f aca="false">IFERROR(VLOOKUP($C513,merchants!$A$2:$D$41,3,FALSE()),"Merchant not found")</f>
        <v>entertainment</v>
      </c>
      <c r="L513" s="2" t="str">
        <f aca="false">IFERROR(VLOOKUP($C513,merchants!$A$2:$D$41,4,FALSE()),"Merchant not found")</f>
        <v>North</v>
      </c>
      <c r="M513" s="2" t="n">
        <f aca="false">SUMIFS($F$2:$F$548,$C$2:$C$548,C513,$E$2:$E$548,E513)</f>
        <v>4999</v>
      </c>
      <c r="N513" s="2" t="str">
        <f aca="false">IF(AND(M513&gt;5000,L513&lt;&gt;"East"),"High-Value Merchant Day","No")</f>
        <v>No</v>
      </c>
    </row>
    <row r="514" customFormat="false" ht="15" hidden="false" customHeight="false" outlineLevel="0" collapsed="false">
      <c r="A514" s="2" t="s">
        <v>592</v>
      </c>
      <c r="B514" s="2" t="n">
        <v>363</v>
      </c>
      <c r="C514" s="2" t="n">
        <v>27</v>
      </c>
      <c r="D514" s="9" t="n">
        <v>46045.7083333333</v>
      </c>
      <c r="E514" s="10" t="n">
        <f aca="false">INT(D514)</f>
        <v>46045</v>
      </c>
      <c r="F514" s="2" t="n">
        <v>999</v>
      </c>
      <c r="G514" s="2" t="s">
        <v>58</v>
      </c>
      <c r="H514" s="2" t="s">
        <v>103</v>
      </c>
      <c r="I514" s="2" t="n">
        <v>95</v>
      </c>
      <c r="J514" s="2" t="str">
        <f aca="false">IFERROR(VLOOKUP($C514,merchants!$A$2:$D$41,2,FALSE()),"Merchant not found")</f>
        <v>Merchant_027</v>
      </c>
      <c r="K514" s="2" t="str">
        <f aca="false">IFERROR(VLOOKUP($C514,merchants!$A$2:$D$41,3,FALSE()),"Merchant not found")</f>
        <v>ecommerce</v>
      </c>
      <c r="L514" s="2" t="str">
        <f aca="false">IFERROR(VLOOKUP($C514,merchants!$A$2:$D$41,4,FALSE()),"Merchant not found")</f>
        <v>North</v>
      </c>
      <c r="M514" s="2" t="n">
        <f aca="false">SUMIFS($F$2:$F$548,$C$2:$C$548,C514,$E$2:$E$548,E514)</f>
        <v>3998</v>
      </c>
      <c r="N514" s="2" t="str">
        <f aca="false">IF(AND(M514&gt;5000,L514&lt;&gt;"East"),"High-Value Merchant Day","No")</f>
        <v>No</v>
      </c>
    </row>
    <row r="515" customFormat="false" ht="15" hidden="false" customHeight="false" outlineLevel="0" collapsed="false">
      <c r="A515" s="2" t="s">
        <v>593</v>
      </c>
      <c r="B515" s="2" t="n">
        <v>364</v>
      </c>
      <c r="C515" s="2" t="n">
        <v>39</v>
      </c>
      <c r="D515" s="9" t="n">
        <v>46044.9166666667</v>
      </c>
      <c r="E515" s="10" t="n">
        <f aca="false">INT(D515)</f>
        <v>46044</v>
      </c>
      <c r="F515" s="2" t="n">
        <v>999</v>
      </c>
      <c r="G515" s="2" t="s">
        <v>58</v>
      </c>
      <c r="H515" s="2" t="s">
        <v>103</v>
      </c>
      <c r="I515" s="2" t="n">
        <v>73</v>
      </c>
      <c r="J515" s="2" t="str">
        <f aca="false">IFERROR(VLOOKUP($C515,merchants!$A$2:$D$41,2,FALSE()),"Merchant not found")</f>
        <v>Merchant_039</v>
      </c>
      <c r="K515" s="2" t="str">
        <f aca="false">IFERROR(VLOOKUP($C515,merchants!$A$2:$D$41,3,FALSE()),"Merchant not found")</f>
        <v>entertainment</v>
      </c>
      <c r="L515" s="2" t="str">
        <f aca="false">IFERROR(VLOOKUP($C515,merchants!$A$2:$D$41,4,FALSE()),"Merchant not found")</f>
        <v>North</v>
      </c>
      <c r="M515" s="2" t="n">
        <f aca="false">SUMIFS($F$2:$F$548,$C$2:$C$548,C515,$E$2:$E$548,E515)</f>
        <v>9796</v>
      </c>
      <c r="N515" s="2" t="str">
        <f aca="false">IF(AND(M515&gt;5000,L515&lt;&gt;"East"),"High-Value Merchant Day","No")</f>
        <v>High-Value Merchant Day</v>
      </c>
    </row>
    <row r="516" customFormat="false" ht="15" hidden="false" customHeight="false" outlineLevel="0" collapsed="false">
      <c r="A516" s="2" t="s">
        <v>594</v>
      </c>
      <c r="B516" s="2" t="n">
        <v>365</v>
      </c>
      <c r="C516" s="2" t="n">
        <v>23</v>
      </c>
      <c r="D516" s="9" t="n">
        <v>46040.875</v>
      </c>
      <c r="E516" s="10" t="n">
        <f aca="false">INT(D516)</f>
        <v>46040</v>
      </c>
      <c r="F516" s="2" t="n">
        <v>1999</v>
      </c>
      <c r="G516" s="2" t="s">
        <v>58</v>
      </c>
      <c r="H516" s="2" t="s">
        <v>103</v>
      </c>
      <c r="I516" s="2" t="n">
        <v>90</v>
      </c>
      <c r="J516" s="2" t="str">
        <f aca="false">IFERROR(VLOOKUP($C516,merchants!$A$2:$D$41,2,FALSE()),"Merchant not found")</f>
        <v>Merchant_023</v>
      </c>
      <c r="K516" s="2" t="str">
        <f aca="false">IFERROR(VLOOKUP($C516,merchants!$A$2:$D$41,3,FALSE()),"Merchant not found")</f>
        <v>travel</v>
      </c>
      <c r="L516" s="2" t="str">
        <f aca="false">IFERROR(VLOOKUP($C516,merchants!$A$2:$D$41,4,FALSE()),"Merchant not found")</f>
        <v>North</v>
      </c>
      <c r="M516" s="2" t="n">
        <f aca="false">SUMIFS($F$2:$F$548,$C$2:$C$548,C516,$E$2:$E$548,E516)</f>
        <v>1999</v>
      </c>
      <c r="N516" s="2" t="str">
        <f aca="false">IF(AND(M516&gt;5000,L516&lt;&gt;"East"),"High-Value Merchant Day","No")</f>
        <v>No</v>
      </c>
    </row>
    <row r="517" customFormat="false" ht="15" hidden="false" customHeight="false" outlineLevel="0" collapsed="false">
      <c r="A517" s="2" t="s">
        <v>595</v>
      </c>
      <c r="B517" s="2" t="n">
        <v>314</v>
      </c>
      <c r="C517" s="2" t="n">
        <v>26</v>
      </c>
      <c r="D517" s="9" t="n">
        <v>46024.75</v>
      </c>
      <c r="E517" s="10" t="n">
        <f aca="false">INT(D517)</f>
        <v>46024</v>
      </c>
      <c r="F517" s="2" t="n">
        <v>399</v>
      </c>
      <c r="G517" s="2" t="s">
        <v>58</v>
      </c>
      <c r="H517" s="2" t="s">
        <v>90</v>
      </c>
      <c r="I517" s="2" t="n">
        <v>87</v>
      </c>
      <c r="J517" s="2" t="str">
        <f aca="false">IFERROR(VLOOKUP($C517,merchants!$A$2:$D$41,2,FALSE()),"Merchant not found")</f>
        <v>Merchant_026</v>
      </c>
      <c r="K517" s="2" t="str">
        <f aca="false">IFERROR(VLOOKUP($C517,merchants!$A$2:$D$41,3,FALSE()),"Merchant not found")</f>
        <v>food_delivery</v>
      </c>
      <c r="L517" s="2" t="str">
        <f aca="false">IFERROR(VLOOKUP($C517,merchants!$A$2:$D$41,4,FALSE()),"Merchant not found")</f>
        <v>East</v>
      </c>
      <c r="M517" s="2" t="n">
        <f aca="false">SUMIFS($F$2:$F$548,$C$2:$C$548,C517,$E$2:$E$548,E517)</f>
        <v>399</v>
      </c>
      <c r="N517" s="2" t="str">
        <f aca="false">IF(AND(M517&gt;5000,L517&lt;&gt;"East"),"High-Value Merchant Day","No")</f>
        <v>No</v>
      </c>
    </row>
    <row r="518" customFormat="false" ht="15" hidden="false" customHeight="false" outlineLevel="0" collapsed="false">
      <c r="A518" s="2" t="s">
        <v>596</v>
      </c>
      <c r="B518" s="2" t="n">
        <v>314</v>
      </c>
      <c r="C518" s="2" t="n">
        <v>7</v>
      </c>
      <c r="D518" s="9" t="n">
        <v>46024.7506944445</v>
      </c>
      <c r="E518" s="10" t="n">
        <f aca="false">INT(D518)</f>
        <v>46024</v>
      </c>
      <c r="F518" s="2" t="n">
        <v>299</v>
      </c>
      <c r="G518" s="2" t="s">
        <v>58</v>
      </c>
      <c r="H518" s="2" t="s">
        <v>90</v>
      </c>
      <c r="I518" s="2" t="n">
        <v>66</v>
      </c>
      <c r="J518" s="2" t="str">
        <f aca="false">IFERROR(VLOOKUP($C518,merchants!$A$2:$D$41,2,FALSE()),"Merchant not found")</f>
        <v>Merchant_007</v>
      </c>
      <c r="K518" s="2" t="str">
        <f aca="false">IFERROR(VLOOKUP($C518,merchants!$A$2:$D$41,3,FALSE()),"Merchant not found")</f>
        <v>food_delivery</v>
      </c>
      <c r="L518" s="2" t="str">
        <f aca="false">IFERROR(VLOOKUP($C518,merchants!$A$2:$D$41,4,FALSE()),"Merchant not found")</f>
        <v>East</v>
      </c>
      <c r="M518" s="2" t="n">
        <f aca="false">SUMIFS($F$2:$F$548,$C$2:$C$548,C518,$E$2:$E$548,E518)</f>
        <v>3797</v>
      </c>
      <c r="N518" s="2" t="str">
        <f aca="false">IF(AND(M518&gt;5000,L518&lt;&gt;"East"),"High-Value Merchant Day","No")</f>
        <v>No</v>
      </c>
    </row>
    <row r="519" customFormat="false" ht="15" hidden="false" customHeight="false" outlineLevel="0" collapsed="false">
      <c r="A519" s="2" t="s">
        <v>597</v>
      </c>
      <c r="B519" s="2" t="n">
        <v>314</v>
      </c>
      <c r="C519" s="2" t="n">
        <v>17</v>
      </c>
      <c r="D519" s="9" t="n">
        <v>46024.7513888889</v>
      </c>
      <c r="E519" s="10" t="n">
        <f aca="false">INT(D519)</f>
        <v>46024</v>
      </c>
      <c r="F519" s="2" t="n">
        <v>299</v>
      </c>
      <c r="G519" s="2" t="s">
        <v>58</v>
      </c>
      <c r="H519" s="2" t="s">
        <v>90</v>
      </c>
      <c r="I519" s="2" t="n">
        <v>92</v>
      </c>
      <c r="J519" s="2" t="str">
        <f aca="false">IFERROR(VLOOKUP($C519,merchants!$A$2:$D$41,2,FALSE()),"Merchant not found")</f>
        <v>Merchant_017</v>
      </c>
      <c r="K519" s="2" t="str">
        <f aca="false">IFERROR(VLOOKUP($C519,merchants!$A$2:$D$41,3,FALSE()),"Merchant not found")</f>
        <v>grocery</v>
      </c>
      <c r="L519" s="2" t="str">
        <f aca="false">IFERROR(VLOOKUP($C519,merchants!$A$2:$D$41,4,FALSE()),"Merchant not found")</f>
        <v>North</v>
      </c>
      <c r="M519" s="2" t="n">
        <f aca="false">SUMIFS($F$2:$F$548,$C$2:$C$548,C519,$E$2:$E$548,E519)</f>
        <v>299</v>
      </c>
      <c r="N519" s="2" t="str">
        <f aca="false">IF(AND(M519&gt;5000,L519&lt;&gt;"East"),"High-Value Merchant Day","No")</f>
        <v>No</v>
      </c>
    </row>
    <row r="520" customFormat="false" ht="15" hidden="false" customHeight="false" outlineLevel="0" collapsed="false">
      <c r="A520" s="2" t="s">
        <v>598</v>
      </c>
      <c r="B520" s="2" t="n">
        <v>314</v>
      </c>
      <c r="C520" s="2" t="n">
        <v>34</v>
      </c>
      <c r="D520" s="9" t="n">
        <v>46024.7520833333</v>
      </c>
      <c r="E520" s="10" t="n">
        <f aca="false">INT(D520)</f>
        <v>46024</v>
      </c>
      <c r="F520" s="2" t="n">
        <v>499</v>
      </c>
      <c r="G520" s="2" t="s">
        <v>58</v>
      </c>
      <c r="H520" s="2" t="s">
        <v>78</v>
      </c>
      <c r="I520" s="2" t="n">
        <v>74</v>
      </c>
      <c r="J520" s="2" t="str">
        <f aca="false">IFERROR(VLOOKUP($C520,merchants!$A$2:$D$41,2,FALSE()),"Merchant not found")</f>
        <v>Merchant_034</v>
      </c>
      <c r="K520" s="2" t="str">
        <f aca="false">IFERROR(VLOOKUP($C520,merchants!$A$2:$D$41,3,FALSE()),"Merchant not found")</f>
        <v>travel</v>
      </c>
      <c r="L520" s="2" t="str">
        <f aca="false">IFERROR(VLOOKUP($C520,merchants!$A$2:$D$41,4,FALSE()),"Merchant not found")</f>
        <v>South</v>
      </c>
      <c r="M520" s="2" t="n">
        <f aca="false">SUMIFS($F$2:$F$548,$C$2:$C$548,C520,$E$2:$E$548,E520)</f>
        <v>548</v>
      </c>
      <c r="N520" s="2" t="str">
        <f aca="false">IF(AND(M520&gt;5000,L520&lt;&gt;"East"),"High-Value Merchant Day","No")</f>
        <v>No</v>
      </c>
    </row>
    <row r="521" customFormat="false" ht="15" hidden="false" customHeight="false" outlineLevel="0" collapsed="false">
      <c r="A521" s="2" t="s">
        <v>599</v>
      </c>
      <c r="B521" s="2" t="n">
        <v>229</v>
      </c>
      <c r="C521" s="2" t="n">
        <v>30</v>
      </c>
      <c r="D521" s="9" t="n">
        <v>46034.5</v>
      </c>
      <c r="E521" s="10" t="n">
        <f aca="false">INT(D521)</f>
        <v>46034</v>
      </c>
      <c r="F521" s="2" t="n">
        <v>499</v>
      </c>
      <c r="G521" s="2" t="s">
        <v>58</v>
      </c>
      <c r="H521" s="2" t="s">
        <v>90</v>
      </c>
      <c r="I521" s="2" t="n">
        <v>92</v>
      </c>
      <c r="J521" s="2" t="str">
        <f aca="false">IFERROR(VLOOKUP($C521,merchants!$A$2:$D$41,2,FALSE()),"Merchant not found")</f>
        <v>Merchant_030</v>
      </c>
      <c r="K521" s="2" t="str">
        <f aca="false">IFERROR(VLOOKUP($C521,merchants!$A$2:$D$41,3,FALSE()),"Merchant not found")</f>
        <v>travel</v>
      </c>
      <c r="L521" s="2" t="str">
        <f aca="false">IFERROR(VLOOKUP($C521,merchants!$A$2:$D$41,4,FALSE()),"Merchant not found")</f>
        <v>West</v>
      </c>
      <c r="M521" s="2" t="n">
        <f aca="false">SUMIFS($F$2:$F$548,$C$2:$C$548,C521,$E$2:$E$548,E521)</f>
        <v>499</v>
      </c>
      <c r="N521" s="2" t="str">
        <f aca="false">IF(AND(M521&gt;5000,L521&lt;&gt;"East"),"High-Value Merchant Day","No")</f>
        <v>No</v>
      </c>
    </row>
    <row r="522" customFormat="false" ht="15" hidden="false" customHeight="false" outlineLevel="0" collapsed="false">
      <c r="A522" s="2" t="s">
        <v>600</v>
      </c>
      <c r="B522" s="2" t="n">
        <v>229</v>
      </c>
      <c r="C522" s="2" t="n">
        <v>10</v>
      </c>
      <c r="D522" s="9" t="n">
        <v>46034.5006944445</v>
      </c>
      <c r="E522" s="10" t="n">
        <f aca="false">INT(D522)</f>
        <v>46034</v>
      </c>
      <c r="F522" s="2" t="n">
        <v>399</v>
      </c>
      <c r="G522" s="2" t="s">
        <v>58</v>
      </c>
      <c r="H522" s="2" t="s">
        <v>90</v>
      </c>
      <c r="I522" s="2" t="n">
        <v>61</v>
      </c>
      <c r="J522" s="2" t="str">
        <f aca="false">IFERROR(VLOOKUP($C522,merchants!$A$2:$D$41,2,FALSE()),"Merchant not found")</f>
        <v>Merchant_010</v>
      </c>
      <c r="K522" s="2" t="str">
        <f aca="false">IFERROR(VLOOKUP($C522,merchants!$A$2:$D$41,3,FALSE()),"Merchant not found")</f>
        <v>grocery</v>
      </c>
      <c r="L522" s="2" t="str">
        <f aca="false">IFERROR(VLOOKUP($C522,merchants!$A$2:$D$41,4,FALSE()),"Merchant not found")</f>
        <v>West</v>
      </c>
      <c r="M522" s="2" t="n">
        <f aca="false">SUMIFS($F$2:$F$548,$C$2:$C$548,C522,$E$2:$E$548,E522)</f>
        <v>399</v>
      </c>
      <c r="N522" s="2" t="str">
        <f aca="false">IF(AND(M522&gt;5000,L522&lt;&gt;"East"),"High-Value Merchant Day","No")</f>
        <v>No</v>
      </c>
    </row>
    <row r="523" customFormat="false" ht="15" hidden="false" customHeight="false" outlineLevel="0" collapsed="false">
      <c r="A523" s="2" t="s">
        <v>601</v>
      </c>
      <c r="B523" s="2" t="n">
        <v>229</v>
      </c>
      <c r="C523" s="2" t="n">
        <v>31</v>
      </c>
      <c r="D523" s="9" t="n">
        <v>46034.5013888889</v>
      </c>
      <c r="E523" s="10" t="n">
        <f aca="false">INT(D523)</f>
        <v>46034</v>
      </c>
      <c r="F523" s="2" t="n">
        <v>299</v>
      </c>
      <c r="G523" s="2" t="s">
        <v>58</v>
      </c>
      <c r="H523" s="2" t="s">
        <v>90</v>
      </c>
      <c r="I523" s="2" t="n">
        <v>78</v>
      </c>
      <c r="J523" s="2" t="str">
        <f aca="false">IFERROR(VLOOKUP($C523,merchants!$A$2:$D$41,2,FALSE()),"Merchant not found")</f>
        <v>Merchant_031</v>
      </c>
      <c r="K523" s="2" t="str">
        <f aca="false">IFERROR(VLOOKUP($C523,merchants!$A$2:$D$41,3,FALSE()),"Merchant not found")</f>
        <v>bill_payment</v>
      </c>
      <c r="L523" s="2" t="str">
        <f aca="false">IFERROR(VLOOKUP($C523,merchants!$A$2:$D$41,4,FALSE()),"Merchant not found")</f>
        <v>East</v>
      </c>
      <c r="M523" s="2" t="n">
        <f aca="false">SUMIFS($F$2:$F$548,$C$2:$C$548,C523,$E$2:$E$548,E523)</f>
        <v>598</v>
      </c>
      <c r="N523" s="2" t="str">
        <f aca="false">IF(AND(M523&gt;5000,L523&lt;&gt;"East"),"High-Value Merchant Day","No")</f>
        <v>No</v>
      </c>
    </row>
    <row r="524" customFormat="false" ht="15" hidden="false" customHeight="false" outlineLevel="0" collapsed="false">
      <c r="A524" s="2" t="s">
        <v>602</v>
      </c>
      <c r="B524" s="2" t="n">
        <v>229</v>
      </c>
      <c r="C524" s="2" t="n">
        <v>27</v>
      </c>
      <c r="D524" s="9" t="n">
        <v>46034.5020833333</v>
      </c>
      <c r="E524" s="10" t="n">
        <f aca="false">INT(D524)</f>
        <v>46034</v>
      </c>
      <c r="F524" s="2" t="n">
        <v>299</v>
      </c>
      <c r="G524" s="2" t="s">
        <v>58</v>
      </c>
      <c r="H524" s="2" t="s">
        <v>78</v>
      </c>
      <c r="I524" s="2" t="n">
        <v>67</v>
      </c>
      <c r="J524" s="2" t="str">
        <f aca="false">IFERROR(VLOOKUP($C524,merchants!$A$2:$D$41,2,FALSE()),"Merchant not found")</f>
        <v>Merchant_027</v>
      </c>
      <c r="K524" s="2" t="str">
        <f aca="false">IFERROR(VLOOKUP($C524,merchants!$A$2:$D$41,3,FALSE()),"Merchant not found")</f>
        <v>ecommerce</v>
      </c>
      <c r="L524" s="2" t="str">
        <f aca="false">IFERROR(VLOOKUP($C524,merchants!$A$2:$D$41,4,FALSE()),"Merchant not found")</f>
        <v>North</v>
      </c>
      <c r="M524" s="2" t="n">
        <f aca="false">SUMIFS($F$2:$F$548,$C$2:$C$548,C524,$E$2:$E$548,E524)</f>
        <v>299</v>
      </c>
      <c r="N524" s="2" t="str">
        <f aca="false">IF(AND(M524&gt;5000,L524&lt;&gt;"East"),"High-Value Merchant Day","No")</f>
        <v>No</v>
      </c>
    </row>
    <row r="525" customFormat="false" ht="15" hidden="false" customHeight="false" outlineLevel="0" collapsed="false">
      <c r="A525" s="2" t="s">
        <v>603</v>
      </c>
      <c r="B525" s="2" t="n">
        <v>73</v>
      </c>
      <c r="C525" s="2" t="n">
        <v>22</v>
      </c>
      <c r="D525" s="9" t="n">
        <v>46034.375</v>
      </c>
      <c r="E525" s="10" t="n">
        <f aca="false">INT(D525)</f>
        <v>46034</v>
      </c>
      <c r="F525" s="2" t="n">
        <v>399</v>
      </c>
      <c r="G525" s="2" t="s">
        <v>58</v>
      </c>
      <c r="H525" s="2" t="s">
        <v>90</v>
      </c>
      <c r="I525" s="2" t="n">
        <v>73</v>
      </c>
      <c r="J525" s="2" t="str">
        <f aca="false">IFERROR(VLOOKUP($C525,merchants!$A$2:$D$41,2,FALSE()),"Merchant not found")</f>
        <v>Merchant_022</v>
      </c>
      <c r="K525" s="2" t="str">
        <f aca="false">IFERROR(VLOOKUP($C525,merchants!$A$2:$D$41,3,FALSE()),"Merchant not found")</f>
        <v>travel</v>
      </c>
      <c r="L525" s="2" t="str">
        <f aca="false">IFERROR(VLOOKUP($C525,merchants!$A$2:$D$41,4,FALSE()),"Merchant not found")</f>
        <v>South</v>
      </c>
      <c r="M525" s="2" t="n">
        <f aca="false">SUMIFS($F$2:$F$548,$C$2:$C$548,C525,$E$2:$E$548,E525)</f>
        <v>1697</v>
      </c>
      <c r="N525" s="2" t="str">
        <f aca="false">IF(AND(M525&gt;5000,L525&lt;&gt;"East"),"High-Value Merchant Day","No")</f>
        <v>No</v>
      </c>
    </row>
    <row r="526" customFormat="false" ht="15" hidden="false" customHeight="false" outlineLevel="0" collapsed="false">
      <c r="A526" s="2" t="s">
        <v>604</v>
      </c>
      <c r="B526" s="2" t="n">
        <v>73</v>
      </c>
      <c r="C526" s="2" t="n">
        <v>34</v>
      </c>
      <c r="D526" s="9" t="n">
        <v>46034.3756944445</v>
      </c>
      <c r="E526" s="10" t="n">
        <f aca="false">INT(D526)</f>
        <v>46034</v>
      </c>
      <c r="F526" s="2" t="n">
        <v>399</v>
      </c>
      <c r="G526" s="2" t="s">
        <v>58</v>
      </c>
      <c r="H526" s="2" t="s">
        <v>90</v>
      </c>
      <c r="I526" s="2" t="n">
        <v>82</v>
      </c>
      <c r="J526" s="2" t="str">
        <f aca="false">IFERROR(VLOOKUP($C526,merchants!$A$2:$D$41,2,FALSE()),"Merchant not found")</f>
        <v>Merchant_034</v>
      </c>
      <c r="K526" s="2" t="str">
        <f aca="false">IFERROR(VLOOKUP($C526,merchants!$A$2:$D$41,3,FALSE()),"Merchant not found")</f>
        <v>travel</v>
      </c>
      <c r="L526" s="2" t="str">
        <f aca="false">IFERROR(VLOOKUP($C526,merchants!$A$2:$D$41,4,FALSE()),"Merchant not found")</f>
        <v>South</v>
      </c>
      <c r="M526" s="2" t="n">
        <f aca="false">SUMIFS($F$2:$F$548,$C$2:$C$548,C526,$E$2:$E$548,E526)</f>
        <v>399</v>
      </c>
      <c r="N526" s="2" t="str">
        <f aca="false">IF(AND(M526&gt;5000,L526&lt;&gt;"East"),"High-Value Merchant Day","No")</f>
        <v>No</v>
      </c>
    </row>
    <row r="527" customFormat="false" ht="15" hidden="false" customHeight="false" outlineLevel="0" collapsed="false">
      <c r="A527" s="2" t="s">
        <v>605</v>
      </c>
      <c r="B527" s="2" t="n">
        <v>73</v>
      </c>
      <c r="C527" s="2" t="n">
        <v>31</v>
      </c>
      <c r="D527" s="9" t="n">
        <v>46034.3763888889</v>
      </c>
      <c r="E527" s="10" t="n">
        <f aca="false">INT(D527)</f>
        <v>46034</v>
      </c>
      <c r="F527" s="2" t="n">
        <v>299</v>
      </c>
      <c r="G527" s="2" t="s">
        <v>58</v>
      </c>
      <c r="H527" s="2" t="s">
        <v>90</v>
      </c>
      <c r="I527" s="2" t="n">
        <v>88</v>
      </c>
      <c r="J527" s="2" t="str">
        <f aca="false">IFERROR(VLOOKUP($C527,merchants!$A$2:$D$41,2,FALSE()),"Merchant not found")</f>
        <v>Merchant_031</v>
      </c>
      <c r="K527" s="2" t="str">
        <f aca="false">IFERROR(VLOOKUP($C527,merchants!$A$2:$D$41,3,FALSE()),"Merchant not found")</f>
        <v>bill_payment</v>
      </c>
      <c r="L527" s="2" t="str">
        <f aca="false">IFERROR(VLOOKUP($C527,merchants!$A$2:$D$41,4,FALSE()),"Merchant not found")</f>
        <v>East</v>
      </c>
      <c r="M527" s="2" t="n">
        <f aca="false">SUMIFS($F$2:$F$548,$C$2:$C$548,C527,$E$2:$E$548,E527)</f>
        <v>598</v>
      </c>
      <c r="N527" s="2" t="str">
        <f aca="false">IF(AND(M527&gt;5000,L527&lt;&gt;"East"),"High-Value Merchant Day","No")</f>
        <v>No</v>
      </c>
    </row>
    <row r="528" customFormat="false" ht="15" hidden="false" customHeight="false" outlineLevel="0" collapsed="false">
      <c r="A528" s="2" t="s">
        <v>606</v>
      </c>
      <c r="B528" s="2" t="n">
        <v>73</v>
      </c>
      <c r="C528" s="2" t="n">
        <v>29</v>
      </c>
      <c r="D528" s="9" t="n">
        <v>46034.3770833333</v>
      </c>
      <c r="E528" s="10" t="n">
        <f aca="false">INT(D528)</f>
        <v>46034</v>
      </c>
      <c r="F528" s="2" t="n">
        <v>399</v>
      </c>
      <c r="G528" s="2" t="s">
        <v>58</v>
      </c>
      <c r="H528" s="2" t="s">
        <v>78</v>
      </c>
      <c r="I528" s="2" t="n">
        <v>64</v>
      </c>
      <c r="J528" s="2" t="str">
        <f aca="false">IFERROR(VLOOKUP($C528,merchants!$A$2:$D$41,2,FALSE()),"Merchant not found")</f>
        <v>Merchant_029</v>
      </c>
      <c r="K528" s="2" t="str">
        <f aca="false">IFERROR(VLOOKUP($C528,merchants!$A$2:$D$41,3,FALSE()),"Merchant not found")</f>
        <v>ecommerce</v>
      </c>
      <c r="L528" s="2" t="str">
        <f aca="false">IFERROR(VLOOKUP($C528,merchants!$A$2:$D$41,4,FALSE()),"Merchant not found")</f>
        <v>North</v>
      </c>
      <c r="M528" s="2" t="n">
        <f aca="false">SUMIFS($F$2:$F$548,$C$2:$C$548,C528,$E$2:$E$548,E528)</f>
        <v>399</v>
      </c>
      <c r="N528" s="2" t="str">
        <f aca="false">IF(AND(M528&gt;5000,L528&lt;&gt;"East"),"High-Value Merchant Day","No")</f>
        <v>No</v>
      </c>
    </row>
    <row r="529" customFormat="false" ht="15" hidden="false" customHeight="false" outlineLevel="0" collapsed="false">
      <c r="A529" s="2" t="s">
        <v>607</v>
      </c>
      <c r="B529" s="2" t="n">
        <v>154</v>
      </c>
      <c r="C529" s="2" t="n">
        <v>8</v>
      </c>
      <c r="D529" s="9" t="n">
        <v>46024.9166666667</v>
      </c>
      <c r="E529" s="10" t="n">
        <f aca="false">INT(D529)</f>
        <v>46024</v>
      </c>
      <c r="F529" s="2" t="n">
        <v>299</v>
      </c>
      <c r="G529" s="2" t="s">
        <v>58</v>
      </c>
      <c r="H529" s="2" t="s">
        <v>90</v>
      </c>
      <c r="I529" s="2" t="n">
        <v>81</v>
      </c>
      <c r="J529" s="2" t="str">
        <f aca="false">IFERROR(VLOOKUP($C529,merchants!$A$2:$D$41,2,FALSE()),"Merchant not found")</f>
        <v>Merchant_008</v>
      </c>
      <c r="K529" s="2" t="str">
        <f aca="false">IFERROR(VLOOKUP($C529,merchants!$A$2:$D$41,3,FALSE()),"Merchant not found")</f>
        <v>food_delivery</v>
      </c>
      <c r="L529" s="2" t="str">
        <f aca="false">IFERROR(VLOOKUP($C529,merchants!$A$2:$D$41,4,FALSE()),"Merchant not found")</f>
        <v>North</v>
      </c>
      <c r="M529" s="2" t="n">
        <f aca="false">SUMIFS($F$2:$F$548,$C$2:$C$548,C529,$E$2:$E$548,E529)</f>
        <v>299</v>
      </c>
      <c r="N529" s="2" t="str">
        <f aca="false">IF(AND(M529&gt;5000,L529&lt;&gt;"East"),"High-Value Merchant Day","No")</f>
        <v>No</v>
      </c>
    </row>
    <row r="530" customFormat="false" ht="15" hidden="false" customHeight="false" outlineLevel="0" collapsed="false">
      <c r="A530" s="2" t="s">
        <v>608</v>
      </c>
      <c r="B530" s="2" t="n">
        <v>154</v>
      </c>
      <c r="C530" s="2" t="n">
        <v>7</v>
      </c>
      <c r="D530" s="9" t="n">
        <v>46024.9173611111</v>
      </c>
      <c r="E530" s="10" t="n">
        <f aca="false">INT(D530)</f>
        <v>46024</v>
      </c>
      <c r="F530" s="2" t="n">
        <v>499</v>
      </c>
      <c r="G530" s="2" t="s">
        <v>58</v>
      </c>
      <c r="H530" s="2" t="s">
        <v>90</v>
      </c>
      <c r="I530" s="2" t="n">
        <v>70</v>
      </c>
      <c r="J530" s="2" t="str">
        <f aca="false">IFERROR(VLOOKUP($C530,merchants!$A$2:$D$41,2,FALSE()),"Merchant not found")</f>
        <v>Merchant_007</v>
      </c>
      <c r="K530" s="2" t="str">
        <f aca="false">IFERROR(VLOOKUP($C530,merchants!$A$2:$D$41,3,FALSE()),"Merchant not found")</f>
        <v>food_delivery</v>
      </c>
      <c r="L530" s="2" t="str">
        <f aca="false">IFERROR(VLOOKUP($C530,merchants!$A$2:$D$41,4,FALSE()),"Merchant not found")</f>
        <v>East</v>
      </c>
      <c r="M530" s="2" t="n">
        <f aca="false">SUMIFS($F$2:$F$548,$C$2:$C$548,C530,$E$2:$E$548,E530)</f>
        <v>3797</v>
      </c>
      <c r="N530" s="2" t="str">
        <f aca="false">IF(AND(M530&gt;5000,L530&lt;&gt;"East"),"High-Value Merchant Day","No")</f>
        <v>No</v>
      </c>
    </row>
    <row r="531" customFormat="false" ht="15" hidden="false" customHeight="false" outlineLevel="0" collapsed="false">
      <c r="A531" s="2" t="s">
        <v>609</v>
      </c>
      <c r="B531" s="2" t="n">
        <v>154</v>
      </c>
      <c r="C531" s="2" t="n">
        <v>16</v>
      </c>
      <c r="D531" s="9" t="n">
        <v>46024.9180555556</v>
      </c>
      <c r="E531" s="10" t="n">
        <f aca="false">INT(D531)</f>
        <v>46024</v>
      </c>
      <c r="F531" s="2" t="n">
        <v>499</v>
      </c>
      <c r="G531" s="2" t="s">
        <v>58</v>
      </c>
      <c r="H531" s="2" t="s">
        <v>90</v>
      </c>
      <c r="I531" s="2" t="n">
        <v>71</v>
      </c>
      <c r="J531" s="2" t="str">
        <f aca="false">IFERROR(VLOOKUP($C531,merchants!$A$2:$D$41,2,FALSE()),"Merchant not found")</f>
        <v>Merchant_016</v>
      </c>
      <c r="K531" s="2" t="str">
        <f aca="false">IFERROR(VLOOKUP($C531,merchants!$A$2:$D$41,3,FALSE()),"Merchant not found")</f>
        <v>bill_payment</v>
      </c>
      <c r="L531" s="2" t="str">
        <f aca="false">IFERROR(VLOOKUP($C531,merchants!$A$2:$D$41,4,FALSE()),"Merchant not found")</f>
        <v>West</v>
      </c>
      <c r="M531" s="2" t="n">
        <f aca="false">SUMIFS($F$2:$F$548,$C$2:$C$548,C531,$E$2:$E$548,E531)</f>
        <v>499</v>
      </c>
      <c r="N531" s="2" t="str">
        <f aca="false">IF(AND(M531&gt;5000,L531&lt;&gt;"East"),"High-Value Merchant Day","No")</f>
        <v>No</v>
      </c>
    </row>
    <row r="532" customFormat="false" ht="15" hidden="false" customHeight="false" outlineLevel="0" collapsed="false">
      <c r="A532" s="2" t="s">
        <v>610</v>
      </c>
      <c r="B532" s="2" t="n">
        <v>154</v>
      </c>
      <c r="C532" s="2" t="n">
        <v>36</v>
      </c>
      <c r="D532" s="9" t="n">
        <v>46024.91875</v>
      </c>
      <c r="E532" s="10" t="n">
        <f aca="false">INT(D532)</f>
        <v>46024</v>
      </c>
      <c r="F532" s="2" t="n">
        <v>299</v>
      </c>
      <c r="G532" s="2" t="s">
        <v>58</v>
      </c>
      <c r="H532" s="2" t="s">
        <v>78</v>
      </c>
      <c r="I532" s="2" t="n">
        <v>81</v>
      </c>
      <c r="J532" s="2" t="str">
        <f aca="false">IFERROR(VLOOKUP($C532,merchants!$A$2:$D$41,2,FALSE()),"Merchant not found")</f>
        <v>Merchant_036</v>
      </c>
      <c r="K532" s="2" t="str">
        <f aca="false">IFERROR(VLOOKUP($C532,merchants!$A$2:$D$41,3,FALSE()),"Merchant not found")</f>
        <v>entertainment</v>
      </c>
      <c r="L532" s="2" t="str">
        <f aca="false">IFERROR(VLOOKUP($C532,merchants!$A$2:$D$41,4,FALSE()),"Merchant not found")</f>
        <v>East</v>
      </c>
      <c r="M532" s="2" t="n">
        <f aca="false">SUMIFS($F$2:$F$548,$C$2:$C$548,C532,$E$2:$E$548,E532)</f>
        <v>299</v>
      </c>
      <c r="N532" s="2" t="str">
        <f aca="false">IF(AND(M532&gt;5000,L532&lt;&gt;"East"),"High-Value Merchant Day","No")</f>
        <v>No</v>
      </c>
    </row>
    <row r="533" customFormat="false" ht="15" hidden="false" customHeight="false" outlineLevel="0" collapsed="false">
      <c r="A533" s="2" t="s">
        <v>611</v>
      </c>
      <c r="B533" s="2" t="n">
        <v>287</v>
      </c>
      <c r="C533" s="2" t="n">
        <v>15</v>
      </c>
      <c r="D533" s="9" t="n">
        <v>46036.5833333333</v>
      </c>
      <c r="E533" s="10" t="n">
        <f aca="false">INT(D533)</f>
        <v>46036</v>
      </c>
      <c r="F533" s="2" t="n">
        <v>399</v>
      </c>
      <c r="G533" s="2" t="s">
        <v>58</v>
      </c>
      <c r="H533" s="2" t="s">
        <v>90</v>
      </c>
      <c r="I533" s="2" t="n">
        <v>71</v>
      </c>
      <c r="J533" s="2" t="str">
        <f aca="false">IFERROR(VLOOKUP($C533,merchants!$A$2:$D$41,2,FALSE()),"Merchant not found")</f>
        <v>Merchant_015</v>
      </c>
      <c r="K533" s="2" t="str">
        <f aca="false">IFERROR(VLOOKUP($C533,merchants!$A$2:$D$41,3,FALSE()),"Merchant not found")</f>
        <v>travel</v>
      </c>
      <c r="L533" s="2" t="str">
        <f aca="false">IFERROR(VLOOKUP($C533,merchants!$A$2:$D$41,4,FALSE()),"Merchant not found")</f>
        <v>North</v>
      </c>
      <c r="M533" s="2" t="n">
        <f aca="false">SUMIFS($F$2:$F$548,$C$2:$C$548,C533,$E$2:$E$548,E533)</f>
        <v>399</v>
      </c>
      <c r="N533" s="2" t="str">
        <f aca="false">IF(AND(M533&gt;5000,L533&lt;&gt;"East"),"High-Value Merchant Day","No")</f>
        <v>No</v>
      </c>
    </row>
    <row r="534" customFormat="false" ht="15" hidden="false" customHeight="false" outlineLevel="0" collapsed="false">
      <c r="A534" s="2" t="s">
        <v>612</v>
      </c>
      <c r="B534" s="2" t="n">
        <v>287</v>
      </c>
      <c r="C534" s="2" t="n">
        <v>12</v>
      </c>
      <c r="D534" s="9" t="n">
        <v>46036.5840277778</v>
      </c>
      <c r="E534" s="10" t="n">
        <f aca="false">INT(D534)</f>
        <v>46036</v>
      </c>
      <c r="F534" s="2" t="n">
        <v>499</v>
      </c>
      <c r="G534" s="2" t="s">
        <v>58</v>
      </c>
      <c r="H534" s="2" t="s">
        <v>90</v>
      </c>
      <c r="I534" s="2" t="n">
        <v>87</v>
      </c>
      <c r="J534" s="2" t="str">
        <f aca="false">IFERROR(VLOOKUP($C534,merchants!$A$2:$D$41,2,FALSE()),"Merchant not found")</f>
        <v>Merchant_012</v>
      </c>
      <c r="K534" s="2" t="str">
        <f aca="false">IFERROR(VLOOKUP($C534,merchants!$A$2:$D$41,3,FALSE()),"Merchant not found")</f>
        <v>ecommerce</v>
      </c>
      <c r="L534" s="2" t="str">
        <f aca="false">IFERROR(VLOOKUP($C534,merchants!$A$2:$D$41,4,FALSE()),"Merchant not found")</f>
        <v>East</v>
      </c>
      <c r="M534" s="2" t="n">
        <f aca="false">SUMIFS($F$2:$F$548,$C$2:$C$548,C534,$E$2:$E$548,E534)</f>
        <v>548</v>
      </c>
      <c r="N534" s="2" t="str">
        <f aca="false">IF(AND(M534&gt;5000,L534&lt;&gt;"East"),"High-Value Merchant Day","No")</f>
        <v>No</v>
      </c>
    </row>
    <row r="535" customFormat="false" ht="15" hidden="false" customHeight="false" outlineLevel="0" collapsed="false">
      <c r="A535" s="2" t="s">
        <v>613</v>
      </c>
      <c r="B535" s="2" t="n">
        <v>287</v>
      </c>
      <c r="C535" s="2" t="n">
        <v>26</v>
      </c>
      <c r="D535" s="9" t="n">
        <v>46036.5847222222</v>
      </c>
      <c r="E535" s="10" t="n">
        <f aca="false">INT(D535)</f>
        <v>46036</v>
      </c>
      <c r="F535" s="2" t="n">
        <v>299</v>
      </c>
      <c r="G535" s="2" t="s">
        <v>58</v>
      </c>
      <c r="H535" s="2" t="s">
        <v>90</v>
      </c>
      <c r="I535" s="2" t="n">
        <v>72</v>
      </c>
      <c r="J535" s="2" t="str">
        <f aca="false">IFERROR(VLOOKUP($C535,merchants!$A$2:$D$41,2,FALSE()),"Merchant not found")</f>
        <v>Merchant_026</v>
      </c>
      <c r="K535" s="2" t="str">
        <f aca="false">IFERROR(VLOOKUP($C535,merchants!$A$2:$D$41,3,FALSE()),"Merchant not found")</f>
        <v>food_delivery</v>
      </c>
      <c r="L535" s="2" t="str">
        <f aca="false">IFERROR(VLOOKUP($C535,merchants!$A$2:$D$41,4,FALSE()),"Merchant not found")</f>
        <v>East</v>
      </c>
      <c r="M535" s="2" t="n">
        <f aca="false">SUMIFS($F$2:$F$548,$C$2:$C$548,C535,$E$2:$E$548,E535)</f>
        <v>299</v>
      </c>
      <c r="N535" s="2" t="str">
        <f aca="false">IF(AND(M535&gt;5000,L535&lt;&gt;"East"),"High-Value Merchant Day","No")</f>
        <v>No</v>
      </c>
    </row>
    <row r="536" customFormat="false" ht="15" hidden="false" customHeight="false" outlineLevel="0" collapsed="false">
      <c r="A536" s="2" t="s">
        <v>614</v>
      </c>
      <c r="B536" s="2" t="n">
        <v>287</v>
      </c>
      <c r="C536" s="2" t="n">
        <v>29</v>
      </c>
      <c r="D536" s="9" t="n">
        <v>46036.5854166667</v>
      </c>
      <c r="E536" s="10" t="n">
        <f aca="false">INT(D536)</f>
        <v>46036</v>
      </c>
      <c r="F536" s="2" t="n">
        <v>499</v>
      </c>
      <c r="G536" s="2" t="s">
        <v>58</v>
      </c>
      <c r="H536" s="2" t="s">
        <v>78</v>
      </c>
      <c r="I536" s="2" t="n">
        <v>87</v>
      </c>
      <c r="J536" s="2" t="str">
        <f aca="false">IFERROR(VLOOKUP($C536,merchants!$A$2:$D$41,2,FALSE()),"Merchant not found")</f>
        <v>Merchant_029</v>
      </c>
      <c r="K536" s="2" t="str">
        <f aca="false">IFERROR(VLOOKUP($C536,merchants!$A$2:$D$41,3,FALSE()),"Merchant not found")</f>
        <v>ecommerce</v>
      </c>
      <c r="L536" s="2" t="str">
        <f aca="false">IFERROR(VLOOKUP($C536,merchants!$A$2:$D$41,4,FALSE()),"Merchant not found")</f>
        <v>North</v>
      </c>
      <c r="M536" s="2" t="n">
        <f aca="false">SUMIFS($F$2:$F$548,$C$2:$C$548,C536,$E$2:$E$548,E536)</f>
        <v>1998</v>
      </c>
      <c r="N536" s="2" t="str">
        <f aca="false">IF(AND(M536&gt;5000,L536&lt;&gt;"East"),"High-Value Merchant Day","No")</f>
        <v>No</v>
      </c>
    </row>
    <row r="537" customFormat="false" ht="15" hidden="false" customHeight="false" outlineLevel="0" collapsed="false">
      <c r="A537" s="2" t="s">
        <v>615</v>
      </c>
      <c r="B537" s="2" t="n">
        <v>200</v>
      </c>
      <c r="C537" s="2" t="n">
        <v>14</v>
      </c>
      <c r="D537" s="9" t="n">
        <v>46023.9166666667</v>
      </c>
      <c r="E537" s="10" t="n">
        <f aca="false">INT(D537)</f>
        <v>46023</v>
      </c>
      <c r="F537" s="2" t="n">
        <v>299</v>
      </c>
      <c r="G537" s="2" t="s">
        <v>58</v>
      </c>
      <c r="H537" s="2" t="s">
        <v>90</v>
      </c>
      <c r="I537" s="2" t="n">
        <v>77</v>
      </c>
      <c r="J537" s="2" t="str">
        <f aca="false">IFERROR(VLOOKUP($C537,merchants!$A$2:$D$41,2,FALSE()),"Merchant not found")</f>
        <v>Merchant_014</v>
      </c>
      <c r="K537" s="2" t="str">
        <f aca="false">IFERROR(VLOOKUP($C537,merchants!$A$2:$D$41,3,FALSE()),"Merchant not found")</f>
        <v>grocery</v>
      </c>
      <c r="L537" s="2" t="str">
        <f aca="false">IFERROR(VLOOKUP($C537,merchants!$A$2:$D$41,4,FALSE()),"Merchant not found")</f>
        <v>East</v>
      </c>
      <c r="M537" s="2" t="n">
        <f aca="false">SUMIFS($F$2:$F$548,$C$2:$C$548,C537,$E$2:$E$548,E537)</f>
        <v>299</v>
      </c>
      <c r="N537" s="2" t="str">
        <f aca="false">IF(AND(M537&gt;5000,L537&lt;&gt;"East"),"High-Value Merchant Day","No")</f>
        <v>No</v>
      </c>
    </row>
    <row r="538" customFormat="false" ht="15" hidden="false" customHeight="false" outlineLevel="0" collapsed="false">
      <c r="A538" s="2" t="s">
        <v>616</v>
      </c>
      <c r="B538" s="2" t="n">
        <v>200</v>
      </c>
      <c r="C538" s="2" t="n">
        <v>5</v>
      </c>
      <c r="D538" s="9" t="n">
        <v>46023.9173611111</v>
      </c>
      <c r="E538" s="10" t="n">
        <f aca="false">INT(D538)</f>
        <v>46023</v>
      </c>
      <c r="F538" s="2" t="n">
        <v>499</v>
      </c>
      <c r="G538" s="2" t="s">
        <v>58</v>
      </c>
      <c r="H538" s="2" t="s">
        <v>90</v>
      </c>
      <c r="I538" s="2" t="n">
        <v>66</v>
      </c>
      <c r="J538" s="2" t="str">
        <f aca="false">IFERROR(VLOOKUP($C538,merchants!$A$2:$D$41,2,FALSE()),"Merchant not found")</f>
        <v>Merchant_005</v>
      </c>
      <c r="K538" s="2" t="str">
        <f aca="false">IFERROR(VLOOKUP($C538,merchants!$A$2:$D$41,3,FALSE()),"Merchant not found")</f>
        <v>recharge</v>
      </c>
      <c r="L538" s="2" t="str">
        <f aca="false">IFERROR(VLOOKUP($C538,merchants!$A$2:$D$41,4,FALSE()),"Merchant not found")</f>
        <v>South</v>
      </c>
      <c r="M538" s="2" t="n">
        <f aca="false">SUMIFS($F$2:$F$548,$C$2:$C$548,C538,$E$2:$E$548,E538)</f>
        <v>499</v>
      </c>
      <c r="N538" s="2" t="str">
        <f aca="false">IF(AND(M538&gt;5000,L538&lt;&gt;"East"),"High-Value Merchant Day","No")</f>
        <v>No</v>
      </c>
    </row>
    <row r="539" customFormat="false" ht="15" hidden="false" customHeight="false" outlineLevel="0" collapsed="false">
      <c r="A539" s="2" t="s">
        <v>617</v>
      </c>
      <c r="B539" s="2" t="n">
        <v>200</v>
      </c>
      <c r="C539" s="2" t="n">
        <v>35</v>
      </c>
      <c r="D539" s="9" t="n">
        <v>46023.9180555556</v>
      </c>
      <c r="E539" s="10" t="n">
        <f aca="false">INT(D539)</f>
        <v>46023</v>
      </c>
      <c r="F539" s="2" t="n">
        <v>299</v>
      </c>
      <c r="G539" s="2" t="s">
        <v>58</v>
      </c>
      <c r="H539" s="2" t="s">
        <v>90</v>
      </c>
      <c r="I539" s="2" t="n">
        <v>83</v>
      </c>
      <c r="J539" s="2" t="str">
        <f aca="false">IFERROR(VLOOKUP($C539,merchants!$A$2:$D$41,2,FALSE()),"Merchant not found")</f>
        <v>Merchant_035</v>
      </c>
      <c r="K539" s="2" t="str">
        <f aca="false">IFERROR(VLOOKUP($C539,merchants!$A$2:$D$41,3,FALSE()),"Merchant not found")</f>
        <v>recharge</v>
      </c>
      <c r="L539" s="2" t="str">
        <f aca="false">IFERROR(VLOOKUP($C539,merchants!$A$2:$D$41,4,FALSE()),"Merchant not found")</f>
        <v>East</v>
      </c>
      <c r="M539" s="2" t="n">
        <f aca="false">SUMIFS($F$2:$F$548,$C$2:$C$548,C539,$E$2:$E$548,E539)</f>
        <v>798</v>
      </c>
      <c r="N539" s="2" t="str">
        <f aca="false">IF(AND(M539&gt;5000,L539&lt;&gt;"East"),"High-Value Merchant Day","No")</f>
        <v>No</v>
      </c>
    </row>
    <row r="540" customFormat="false" ht="15" hidden="false" customHeight="false" outlineLevel="0" collapsed="false">
      <c r="A540" s="2" t="s">
        <v>618</v>
      </c>
      <c r="B540" s="2" t="n">
        <v>200</v>
      </c>
      <c r="C540" s="2" t="n">
        <v>21</v>
      </c>
      <c r="D540" s="9" t="n">
        <v>46023.91875</v>
      </c>
      <c r="E540" s="10" t="n">
        <f aca="false">INT(D540)</f>
        <v>46023</v>
      </c>
      <c r="F540" s="2" t="n">
        <v>299</v>
      </c>
      <c r="G540" s="2" t="s">
        <v>58</v>
      </c>
      <c r="H540" s="2" t="s">
        <v>78</v>
      </c>
      <c r="I540" s="2" t="n">
        <v>89</v>
      </c>
      <c r="J540" s="2" t="str">
        <f aca="false">IFERROR(VLOOKUP($C540,merchants!$A$2:$D$41,2,FALSE()),"Merchant not found")</f>
        <v>Merchant_021</v>
      </c>
      <c r="K540" s="2" t="str">
        <f aca="false">IFERROR(VLOOKUP($C540,merchants!$A$2:$D$41,3,FALSE()),"Merchant not found")</f>
        <v>food_delivery</v>
      </c>
      <c r="L540" s="2" t="str">
        <f aca="false">IFERROR(VLOOKUP($C540,merchants!$A$2:$D$41,4,FALSE()),"Merchant not found")</f>
        <v>East</v>
      </c>
      <c r="M540" s="2" t="n">
        <f aca="false">SUMIFS($F$2:$F$548,$C$2:$C$548,C540,$E$2:$E$548,E540)</f>
        <v>5298</v>
      </c>
      <c r="N540" s="2" t="str">
        <f aca="false">IF(AND(M540&gt;5000,L540&lt;&gt;"East"),"High-Value Merchant Day","No")</f>
        <v>No</v>
      </c>
    </row>
    <row r="541" customFormat="false" ht="15" hidden="false" customHeight="false" outlineLevel="0" collapsed="false">
      <c r="A541" s="2" t="s">
        <v>619</v>
      </c>
      <c r="B541" s="2" t="n">
        <v>59</v>
      </c>
      <c r="C541" s="2" t="n">
        <v>32</v>
      </c>
      <c r="D541" s="9" t="n">
        <v>46031.875</v>
      </c>
      <c r="E541" s="10" t="n">
        <f aca="false">INT(D541)</f>
        <v>46031</v>
      </c>
      <c r="F541" s="2" t="n">
        <v>499</v>
      </c>
      <c r="G541" s="2" t="s">
        <v>58</v>
      </c>
      <c r="H541" s="2" t="s">
        <v>90</v>
      </c>
      <c r="I541" s="2" t="n">
        <v>80</v>
      </c>
      <c r="J541" s="2" t="str">
        <f aca="false">IFERROR(VLOOKUP($C541,merchants!$A$2:$D$41,2,FALSE()),"Merchant not found")</f>
        <v>Merchant_032</v>
      </c>
      <c r="K541" s="2" t="str">
        <f aca="false">IFERROR(VLOOKUP($C541,merchants!$A$2:$D$41,3,FALSE()),"Merchant not found")</f>
        <v>food_delivery</v>
      </c>
      <c r="L541" s="2" t="str">
        <f aca="false">IFERROR(VLOOKUP($C541,merchants!$A$2:$D$41,4,FALSE()),"Merchant not found")</f>
        <v>West</v>
      </c>
      <c r="M541" s="2" t="n">
        <f aca="false">SUMIFS($F$2:$F$548,$C$2:$C$548,C541,$E$2:$E$548,E541)</f>
        <v>499</v>
      </c>
      <c r="N541" s="2" t="str">
        <f aca="false">IF(AND(M541&gt;5000,L541&lt;&gt;"East"),"High-Value Merchant Day","No")</f>
        <v>No</v>
      </c>
    </row>
    <row r="542" customFormat="false" ht="15" hidden="false" customHeight="false" outlineLevel="0" collapsed="false">
      <c r="A542" s="2" t="s">
        <v>620</v>
      </c>
      <c r="B542" s="2" t="n">
        <v>59</v>
      </c>
      <c r="C542" s="2" t="n">
        <v>39</v>
      </c>
      <c r="D542" s="9" t="n">
        <v>46031.8756944445</v>
      </c>
      <c r="E542" s="10" t="n">
        <f aca="false">INT(D542)</f>
        <v>46031</v>
      </c>
      <c r="F542" s="2" t="n">
        <v>399</v>
      </c>
      <c r="G542" s="2" t="s">
        <v>58</v>
      </c>
      <c r="H542" s="2" t="s">
        <v>90</v>
      </c>
      <c r="I542" s="2" t="n">
        <v>85</v>
      </c>
      <c r="J542" s="2" t="str">
        <f aca="false">IFERROR(VLOOKUP($C542,merchants!$A$2:$D$41,2,FALSE()),"Merchant not found")</f>
        <v>Merchant_039</v>
      </c>
      <c r="K542" s="2" t="str">
        <f aca="false">IFERROR(VLOOKUP($C542,merchants!$A$2:$D$41,3,FALSE()),"Merchant not found")</f>
        <v>entertainment</v>
      </c>
      <c r="L542" s="2" t="str">
        <f aca="false">IFERROR(VLOOKUP($C542,merchants!$A$2:$D$41,4,FALSE()),"Merchant not found")</f>
        <v>North</v>
      </c>
      <c r="M542" s="2" t="n">
        <f aca="false">SUMIFS($F$2:$F$548,$C$2:$C$548,C542,$E$2:$E$548,E542)</f>
        <v>399</v>
      </c>
      <c r="N542" s="2" t="str">
        <f aca="false">IF(AND(M542&gt;5000,L542&lt;&gt;"East"),"High-Value Merchant Day","No")</f>
        <v>No</v>
      </c>
    </row>
    <row r="543" customFormat="false" ht="15" hidden="false" customHeight="false" outlineLevel="0" collapsed="false">
      <c r="A543" s="2" t="s">
        <v>621</v>
      </c>
      <c r="B543" s="2" t="n">
        <v>59</v>
      </c>
      <c r="C543" s="2" t="n">
        <v>38</v>
      </c>
      <c r="D543" s="9" t="n">
        <v>46031.8763888889</v>
      </c>
      <c r="E543" s="10" t="n">
        <f aca="false">INT(D543)</f>
        <v>46031</v>
      </c>
      <c r="F543" s="2" t="n">
        <v>299</v>
      </c>
      <c r="G543" s="2" t="s">
        <v>58</v>
      </c>
      <c r="H543" s="2" t="s">
        <v>90</v>
      </c>
      <c r="I543" s="2" t="n">
        <v>82</v>
      </c>
      <c r="J543" s="2" t="str">
        <f aca="false">IFERROR(VLOOKUP($C543,merchants!$A$2:$D$41,2,FALSE()),"Merchant not found")</f>
        <v>Merchant_038</v>
      </c>
      <c r="K543" s="2" t="str">
        <f aca="false">IFERROR(VLOOKUP($C543,merchants!$A$2:$D$41,3,FALSE()),"Merchant not found")</f>
        <v>grocery</v>
      </c>
      <c r="L543" s="2" t="str">
        <f aca="false">IFERROR(VLOOKUP($C543,merchants!$A$2:$D$41,4,FALSE()),"Merchant not found")</f>
        <v>East</v>
      </c>
      <c r="M543" s="2" t="n">
        <f aca="false">SUMIFS($F$2:$F$548,$C$2:$C$548,C543,$E$2:$E$548,E543)</f>
        <v>348</v>
      </c>
      <c r="N543" s="2" t="str">
        <f aca="false">IF(AND(M543&gt;5000,L543&lt;&gt;"East"),"High-Value Merchant Day","No")</f>
        <v>No</v>
      </c>
    </row>
    <row r="544" customFormat="false" ht="15" hidden="false" customHeight="false" outlineLevel="0" collapsed="false">
      <c r="A544" s="2" t="s">
        <v>622</v>
      </c>
      <c r="B544" s="2" t="n">
        <v>59</v>
      </c>
      <c r="C544" s="2" t="n">
        <v>23</v>
      </c>
      <c r="D544" s="9" t="n">
        <v>46031.8770833333</v>
      </c>
      <c r="E544" s="10" t="n">
        <f aca="false">INT(D544)</f>
        <v>46031</v>
      </c>
      <c r="F544" s="2" t="n">
        <v>399</v>
      </c>
      <c r="G544" s="2" t="s">
        <v>58</v>
      </c>
      <c r="H544" s="2" t="s">
        <v>78</v>
      </c>
      <c r="I544" s="2" t="n">
        <v>71</v>
      </c>
      <c r="J544" s="2" t="str">
        <f aca="false">IFERROR(VLOOKUP($C544,merchants!$A$2:$D$41,2,FALSE()),"Merchant not found")</f>
        <v>Merchant_023</v>
      </c>
      <c r="K544" s="2" t="str">
        <f aca="false">IFERROR(VLOOKUP($C544,merchants!$A$2:$D$41,3,FALSE()),"Merchant not found")</f>
        <v>travel</v>
      </c>
      <c r="L544" s="2" t="str">
        <f aca="false">IFERROR(VLOOKUP($C544,merchants!$A$2:$D$41,4,FALSE()),"Merchant not found")</f>
        <v>North</v>
      </c>
      <c r="M544" s="2" t="n">
        <f aca="false">SUMIFS($F$2:$F$548,$C$2:$C$548,C544,$E$2:$E$548,E544)</f>
        <v>399</v>
      </c>
      <c r="N544" s="2" t="str">
        <f aca="false">IF(AND(M544&gt;5000,L544&lt;&gt;"East"),"High-Value Merchant Day","No")</f>
        <v>No</v>
      </c>
    </row>
    <row r="545" customFormat="false" ht="15" hidden="false" customHeight="false" outlineLevel="0" collapsed="false">
      <c r="A545" s="2" t="s">
        <v>623</v>
      </c>
      <c r="B545" s="2" t="n">
        <v>345</v>
      </c>
      <c r="C545" s="2" t="n">
        <v>40</v>
      </c>
      <c r="D545" s="9" t="n">
        <v>46045.375</v>
      </c>
      <c r="E545" s="10" t="n">
        <f aca="false">INT(D545)</f>
        <v>46045</v>
      </c>
      <c r="F545" s="2" t="n">
        <v>499</v>
      </c>
      <c r="G545" s="2" t="s">
        <v>58</v>
      </c>
      <c r="H545" s="2" t="s">
        <v>90</v>
      </c>
      <c r="I545" s="2" t="n">
        <v>65</v>
      </c>
      <c r="J545" s="2" t="str">
        <f aca="false">IFERROR(VLOOKUP($C545,merchants!$A$2:$D$41,2,FALSE()),"Merchant not found")</f>
        <v>Merchant_040</v>
      </c>
      <c r="K545" s="2" t="str">
        <f aca="false">IFERROR(VLOOKUP($C545,merchants!$A$2:$D$41,3,FALSE()),"Merchant not found")</f>
        <v>entertainment</v>
      </c>
      <c r="L545" s="2" t="str">
        <f aca="false">IFERROR(VLOOKUP($C545,merchants!$A$2:$D$41,4,FALSE()),"Merchant not found")</f>
        <v>South</v>
      </c>
      <c r="M545" s="2" t="n">
        <f aca="false">SUMIFS($F$2:$F$548,$C$2:$C$548,C545,$E$2:$E$548,E545)</f>
        <v>598</v>
      </c>
      <c r="N545" s="2" t="str">
        <f aca="false">IF(AND(M545&gt;5000,L545&lt;&gt;"East"),"High-Value Merchant Day","No")</f>
        <v>No</v>
      </c>
    </row>
    <row r="546" customFormat="false" ht="15" hidden="false" customHeight="false" outlineLevel="0" collapsed="false">
      <c r="A546" s="2" t="s">
        <v>624</v>
      </c>
      <c r="B546" s="2" t="n">
        <v>345</v>
      </c>
      <c r="C546" s="2" t="n">
        <v>9</v>
      </c>
      <c r="D546" s="9" t="n">
        <v>46045.3756944445</v>
      </c>
      <c r="E546" s="10" t="n">
        <f aca="false">INT(D546)</f>
        <v>46045</v>
      </c>
      <c r="F546" s="2" t="n">
        <v>399</v>
      </c>
      <c r="G546" s="2" t="s">
        <v>58</v>
      </c>
      <c r="H546" s="2" t="s">
        <v>90</v>
      </c>
      <c r="I546" s="2" t="n">
        <v>67</v>
      </c>
      <c r="J546" s="2" t="str">
        <f aca="false">IFERROR(VLOOKUP($C546,merchants!$A$2:$D$41,2,FALSE()),"Merchant not found")</f>
        <v>Merchant_009</v>
      </c>
      <c r="K546" s="2" t="str">
        <f aca="false">IFERROR(VLOOKUP($C546,merchants!$A$2:$D$41,3,FALSE()),"Merchant not found")</f>
        <v>ecommerce</v>
      </c>
      <c r="L546" s="2" t="str">
        <f aca="false">IFERROR(VLOOKUP($C546,merchants!$A$2:$D$41,4,FALSE()),"Merchant not found")</f>
        <v>North</v>
      </c>
      <c r="M546" s="2" t="n">
        <f aca="false">SUMIFS($F$2:$F$548,$C$2:$C$548,C546,$E$2:$E$548,E546)</f>
        <v>898</v>
      </c>
      <c r="N546" s="2" t="str">
        <f aca="false">IF(AND(M546&gt;5000,L546&lt;&gt;"East"),"High-Value Merchant Day","No")</f>
        <v>No</v>
      </c>
    </row>
    <row r="547" customFormat="false" ht="15" hidden="false" customHeight="false" outlineLevel="0" collapsed="false">
      <c r="A547" s="2" t="s">
        <v>625</v>
      </c>
      <c r="B547" s="2" t="n">
        <v>345</v>
      </c>
      <c r="C547" s="2" t="n">
        <v>16</v>
      </c>
      <c r="D547" s="9" t="n">
        <v>46045.3763888889</v>
      </c>
      <c r="E547" s="10" t="n">
        <f aca="false">INT(D547)</f>
        <v>46045</v>
      </c>
      <c r="F547" s="2" t="n">
        <v>399</v>
      </c>
      <c r="G547" s="2" t="s">
        <v>58</v>
      </c>
      <c r="H547" s="2" t="s">
        <v>90</v>
      </c>
      <c r="I547" s="2" t="n">
        <v>67</v>
      </c>
      <c r="J547" s="2" t="str">
        <f aca="false">IFERROR(VLOOKUP($C547,merchants!$A$2:$D$41,2,FALSE()),"Merchant not found")</f>
        <v>Merchant_016</v>
      </c>
      <c r="K547" s="2" t="str">
        <f aca="false">IFERROR(VLOOKUP($C547,merchants!$A$2:$D$41,3,FALSE()),"Merchant not found")</f>
        <v>bill_payment</v>
      </c>
      <c r="L547" s="2" t="str">
        <f aca="false">IFERROR(VLOOKUP($C547,merchants!$A$2:$D$41,4,FALSE()),"Merchant not found")</f>
        <v>West</v>
      </c>
      <c r="M547" s="2" t="n">
        <f aca="false">SUMIFS($F$2:$F$548,$C$2:$C$548,C547,$E$2:$E$548,E547)</f>
        <v>399</v>
      </c>
      <c r="N547" s="2" t="str">
        <f aca="false">IF(AND(M547&gt;5000,L547&lt;&gt;"East"),"High-Value Merchant Day","No")</f>
        <v>No</v>
      </c>
    </row>
    <row r="548" customFormat="false" ht="15" hidden="false" customHeight="false" outlineLevel="0" collapsed="false">
      <c r="A548" s="2" t="s">
        <v>626</v>
      </c>
      <c r="B548" s="2" t="n">
        <v>345</v>
      </c>
      <c r="C548" s="2" t="n">
        <v>12</v>
      </c>
      <c r="D548" s="9" t="n">
        <v>46045.3770833333</v>
      </c>
      <c r="E548" s="10" t="n">
        <f aca="false">INT(D548)</f>
        <v>46045</v>
      </c>
      <c r="F548" s="2" t="n">
        <v>399</v>
      </c>
      <c r="G548" s="2" t="s">
        <v>58</v>
      </c>
      <c r="H548" s="2" t="s">
        <v>78</v>
      </c>
      <c r="I548" s="2" t="n">
        <v>69</v>
      </c>
      <c r="J548" s="2" t="str">
        <f aca="false">IFERROR(VLOOKUP($C548,merchants!$A$2:$D$41,2,FALSE()),"Merchant not found")</f>
        <v>Merchant_012</v>
      </c>
      <c r="K548" s="2" t="str">
        <f aca="false">IFERROR(VLOOKUP($C548,merchants!$A$2:$D$41,3,FALSE()),"Merchant not found")</f>
        <v>ecommerce</v>
      </c>
      <c r="L548" s="2" t="str">
        <f aca="false">IFERROR(VLOOKUP($C548,merchants!$A$2:$D$41,4,FALSE()),"Merchant not found")</f>
        <v>East</v>
      </c>
      <c r="M548" s="2" t="n">
        <f aca="false">SUMIFS($F$2:$F$548,$C$2:$C$548,C548,$E$2:$E$548,E548)</f>
        <v>448</v>
      </c>
      <c r="N548" s="2" t="str">
        <f aca="false">IF(AND(M548&gt;5000,L548&lt;&gt;"East"),"High-Value Merchant Day","No")</f>
        <v>No</v>
      </c>
    </row>
    <row r="549" customFormat="false" ht="15" hidden="false" customHeight="false" outlineLevel="0" collapsed="false">
      <c r="A549" s="4" t="s">
        <v>627</v>
      </c>
      <c r="B549" s="4" t="n">
        <v>0</v>
      </c>
      <c r="C549" s="4" t="n">
        <v>999</v>
      </c>
      <c r="D549" s="4" t="s">
        <v>628</v>
      </c>
      <c r="E549" s="4" t="s">
        <v>629</v>
      </c>
      <c r="F549" s="4" t="n">
        <v>0</v>
      </c>
      <c r="G549" s="4" t="s">
        <v>629</v>
      </c>
      <c r="H549" s="4" t="s">
        <v>629</v>
      </c>
      <c r="I549" s="4" t="n">
        <v>0</v>
      </c>
      <c r="J549" s="4" t="str">
        <f aca="false">IFERROR(VLOOKUP($C549,merchants!$A$2:$D$41,2,FALSE()),"Merchant not found")</f>
        <v>Merchant not found</v>
      </c>
      <c r="K549" s="4" t="str">
        <f aca="false">IFERROR(VLOOKUP($C549,merchants!$A$2:$D$41,3,FALSE()),"Merchant not found")</f>
        <v>Merchant not found</v>
      </c>
      <c r="L549" s="4" t="str">
        <f aca="false">IFERROR(VLOOKUP($C549,merchants!$A$2:$D$41,4,FALSE()),"Merchant not found")</f>
        <v>Merchant not found</v>
      </c>
      <c r="M549" s="4" t="s">
        <v>630</v>
      </c>
      <c r="N549" s="4" t="s">
        <v>630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0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5" t="s">
        <v>631</v>
      </c>
    </row>
    <row r="3" customFormat="false" ht="15" hidden="false" customHeight="false" outlineLevel="0" collapsed="false">
      <c r="A3" s="1" t="s">
        <v>0</v>
      </c>
      <c r="B3" s="1" t="s">
        <v>632</v>
      </c>
      <c r="C3" s="1" t="s">
        <v>633</v>
      </c>
      <c r="D3" s="1" t="s">
        <v>634</v>
      </c>
      <c r="E3" s="1" t="s">
        <v>635</v>
      </c>
      <c r="F3" s="1" t="s">
        <v>636</v>
      </c>
      <c r="G3" s="1" t="s">
        <v>637</v>
      </c>
      <c r="H3" s="1" t="s">
        <v>638</v>
      </c>
      <c r="I3" s="1" t="s">
        <v>639</v>
      </c>
    </row>
    <row r="4" customFormat="false" ht="15" hidden="false" customHeight="false" outlineLevel="0" collapsed="false">
      <c r="A4" s="2" t="n">
        <v>1</v>
      </c>
      <c r="B4" s="11" t="n">
        <f aca="false">SUMIFS(transactions_view!$F$2:$F$548,transactions_view!$C$2:$C$548,A4,transactions_view!$H$2:$H$548,"captured")</f>
        <v>10142</v>
      </c>
      <c r="C4" s="2" t="n">
        <f aca="false">COUNTIFS(transactions_view!$C$2:$C$548,A4,transactions_view!$H$2:$H$548,"captured")</f>
        <v>8</v>
      </c>
      <c r="D4" s="11" t="n">
        <f aca="false">SUMIFS(transactions_view!$F$2:$F$548,transactions_view!$C$2:$C$548,A4,transactions_view!$H$2:$H$548,"failed")</f>
        <v>299</v>
      </c>
      <c r="E4" s="2" t="n">
        <f aca="false">COUNTIFS(transactions_view!$C$2:$C$548,A4,transactions_view!$H$2:$H$548,"failed")</f>
        <v>1</v>
      </c>
      <c r="F4" s="11" t="n">
        <f aca="false">SUMIFS(transactions_view!$F$2:$F$548,transactions_view!$C$2:$C$548,A4,transactions_view!$H$2:$H$548,"chargeback")</f>
        <v>0</v>
      </c>
      <c r="G4" s="2" t="n">
        <f aca="false">COUNTIFS(transactions_view!$C$2:$C$548,A4,transactions_view!$H$2:$H$548,"chargeback")</f>
        <v>0</v>
      </c>
      <c r="H4" s="11" t="n">
        <f aca="false">B4+D4+F4</f>
        <v>10441</v>
      </c>
      <c r="I4" s="2" t="n">
        <f aca="false">C4+E4+G4</f>
        <v>9</v>
      </c>
    </row>
    <row r="5" customFormat="false" ht="15" hidden="false" customHeight="false" outlineLevel="0" collapsed="false">
      <c r="A5" s="2" t="n">
        <v>2</v>
      </c>
      <c r="B5" s="11" t="n">
        <f aca="false">SUMIFS(transactions_view!$F$2:$F$548,transactions_view!$C$2:$C$548,A5,transactions_view!$H$2:$H$548,"captured")</f>
        <v>3640</v>
      </c>
      <c r="C5" s="2" t="n">
        <f aca="false">COUNTIFS(transactions_view!$C$2:$C$548,A5,transactions_view!$H$2:$H$548,"captured")</f>
        <v>10</v>
      </c>
      <c r="D5" s="11" t="n">
        <f aca="false">SUMIFS(transactions_view!$F$2:$F$548,transactions_view!$C$2:$C$548,A5,transactions_view!$H$2:$H$548,"failed")</f>
        <v>0</v>
      </c>
      <c r="E5" s="2" t="n">
        <f aca="false">COUNTIFS(transactions_view!$C$2:$C$548,A5,transactions_view!$H$2:$H$548,"failed")</f>
        <v>0</v>
      </c>
      <c r="F5" s="11" t="n">
        <f aca="false">SUMIFS(transactions_view!$F$2:$F$548,transactions_view!$C$2:$C$548,A5,transactions_view!$H$2:$H$548,"chargeback")</f>
        <v>0</v>
      </c>
      <c r="G5" s="2" t="n">
        <f aca="false">COUNTIFS(transactions_view!$C$2:$C$548,A5,transactions_view!$H$2:$H$548,"chargeback")</f>
        <v>0</v>
      </c>
      <c r="H5" s="11" t="n">
        <f aca="false">B5+D5+F5</f>
        <v>3640</v>
      </c>
      <c r="I5" s="2" t="n">
        <f aca="false">C5+E5+G5</f>
        <v>10</v>
      </c>
    </row>
    <row r="6" customFormat="false" ht="15" hidden="false" customHeight="false" outlineLevel="0" collapsed="false">
      <c r="A6" s="2" t="n">
        <v>3</v>
      </c>
      <c r="B6" s="11" t="n">
        <f aca="false">SUMIFS(transactions_view!$F$2:$F$548,transactions_view!$C$2:$C$548,A6,transactions_view!$H$2:$H$548,"captured")</f>
        <v>8084</v>
      </c>
      <c r="C6" s="2" t="n">
        <f aca="false">COUNTIFS(transactions_view!$C$2:$C$548,A6,transactions_view!$H$2:$H$548,"captured")</f>
        <v>16</v>
      </c>
      <c r="D6" s="11" t="n">
        <f aca="false">SUMIFS(transactions_view!$F$2:$F$548,transactions_view!$C$2:$C$548,A6,transactions_view!$H$2:$H$548,"failed")</f>
        <v>0</v>
      </c>
      <c r="E6" s="2" t="n">
        <f aca="false">COUNTIFS(transactions_view!$C$2:$C$548,A6,transactions_view!$H$2:$H$548,"failed")</f>
        <v>0</v>
      </c>
      <c r="F6" s="11" t="n">
        <f aca="false">SUMIFS(transactions_view!$F$2:$F$548,transactions_view!$C$2:$C$548,A6,transactions_view!$H$2:$H$548,"chargeback")</f>
        <v>149</v>
      </c>
      <c r="G6" s="2" t="n">
        <f aca="false">COUNTIFS(transactions_view!$C$2:$C$548,A6,transactions_view!$H$2:$H$548,"chargeback")</f>
        <v>1</v>
      </c>
      <c r="H6" s="11" t="n">
        <f aca="false">B6+D6+F6</f>
        <v>8233</v>
      </c>
      <c r="I6" s="2" t="n">
        <f aca="false">C6+E6+G6</f>
        <v>17</v>
      </c>
    </row>
    <row r="7" customFormat="false" ht="15" hidden="false" customHeight="false" outlineLevel="0" collapsed="false">
      <c r="A7" s="2" t="n">
        <v>4</v>
      </c>
      <c r="B7" s="11" t="n">
        <f aca="false">SUMIFS(transactions_view!$F$2:$F$548,transactions_view!$C$2:$C$548,A7,transactions_view!$H$2:$H$548,"captured")</f>
        <v>6941</v>
      </c>
      <c r="C7" s="2" t="n">
        <f aca="false">COUNTIFS(transactions_view!$C$2:$C$548,A7,transactions_view!$H$2:$H$548,"captured")</f>
        <v>9</v>
      </c>
      <c r="D7" s="11" t="n">
        <f aca="false">SUMIFS(transactions_view!$F$2:$F$548,transactions_view!$C$2:$C$548,A7,transactions_view!$H$2:$H$548,"failed")</f>
        <v>0</v>
      </c>
      <c r="E7" s="2" t="n">
        <f aca="false">COUNTIFS(transactions_view!$C$2:$C$548,A7,transactions_view!$H$2:$H$548,"failed")</f>
        <v>0</v>
      </c>
      <c r="F7" s="11" t="n">
        <f aca="false">SUMIFS(transactions_view!$F$2:$F$548,transactions_view!$C$2:$C$548,A7,transactions_view!$H$2:$H$548,"chargeback")</f>
        <v>0</v>
      </c>
      <c r="G7" s="2" t="n">
        <f aca="false">COUNTIFS(transactions_view!$C$2:$C$548,A7,transactions_view!$H$2:$H$548,"chargeback")</f>
        <v>0</v>
      </c>
      <c r="H7" s="11" t="n">
        <f aca="false">B7+D7+F7</f>
        <v>6941</v>
      </c>
      <c r="I7" s="2" t="n">
        <f aca="false">C7+E7+G7</f>
        <v>9</v>
      </c>
    </row>
    <row r="8" customFormat="false" ht="15" hidden="false" customHeight="false" outlineLevel="0" collapsed="false">
      <c r="A8" s="2" t="n">
        <v>5</v>
      </c>
      <c r="B8" s="11" t="n">
        <f aca="false">SUMIFS(transactions_view!$F$2:$F$548,transactions_view!$C$2:$C$548,A8,transactions_view!$H$2:$H$548,"captured")</f>
        <v>5340</v>
      </c>
      <c r="C8" s="2" t="n">
        <f aca="false">COUNTIFS(transactions_view!$C$2:$C$548,A8,transactions_view!$H$2:$H$548,"captured")</f>
        <v>10</v>
      </c>
      <c r="D8" s="11" t="n">
        <f aca="false">SUMIFS(transactions_view!$F$2:$F$548,transactions_view!$C$2:$C$548,A8,transactions_view!$H$2:$H$548,"failed")</f>
        <v>499</v>
      </c>
      <c r="E8" s="2" t="n">
        <f aca="false">COUNTIFS(transactions_view!$C$2:$C$548,A8,transactions_view!$H$2:$H$548,"failed")</f>
        <v>1</v>
      </c>
      <c r="F8" s="11" t="n">
        <f aca="false">SUMIFS(transactions_view!$F$2:$F$548,transactions_view!$C$2:$C$548,A8,transactions_view!$H$2:$H$548,"chargeback")</f>
        <v>0</v>
      </c>
      <c r="G8" s="2" t="n">
        <f aca="false">COUNTIFS(transactions_view!$C$2:$C$548,A8,transactions_view!$H$2:$H$548,"chargeback")</f>
        <v>0</v>
      </c>
      <c r="H8" s="11" t="n">
        <f aca="false">B8+D8+F8</f>
        <v>5839</v>
      </c>
      <c r="I8" s="2" t="n">
        <f aca="false">C8+E8+G8</f>
        <v>11</v>
      </c>
    </row>
    <row r="9" customFormat="false" ht="15" hidden="false" customHeight="false" outlineLevel="0" collapsed="false">
      <c r="A9" s="2" t="n">
        <v>6</v>
      </c>
      <c r="B9" s="11" t="n">
        <f aca="false">SUMIFS(transactions_view!$F$2:$F$548,transactions_view!$C$2:$C$548,A9,transactions_view!$H$2:$H$548,"captured")</f>
        <v>6637</v>
      </c>
      <c r="C9" s="2" t="n">
        <f aca="false">COUNTIFS(transactions_view!$C$2:$C$548,A9,transactions_view!$H$2:$H$548,"captured")</f>
        <v>13</v>
      </c>
      <c r="D9" s="11" t="n">
        <f aca="false">SUMIFS(transactions_view!$F$2:$F$548,transactions_view!$C$2:$C$548,A9,transactions_view!$H$2:$H$548,"failed")</f>
        <v>0</v>
      </c>
      <c r="E9" s="2" t="n">
        <f aca="false">COUNTIFS(transactions_view!$C$2:$C$548,A9,transactions_view!$H$2:$H$548,"failed")</f>
        <v>0</v>
      </c>
      <c r="F9" s="11" t="n">
        <f aca="false">SUMIFS(transactions_view!$F$2:$F$548,transactions_view!$C$2:$C$548,A9,transactions_view!$H$2:$H$548,"chargeback")</f>
        <v>799</v>
      </c>
      <c r="G9" s="2" t="n">
        <f aca="false">COUNTIFS(transactions_view!$C$2:$C$548,A9,transactions_view!$H$2:$H$548,"chargeback")</f>
        <v>1</v>
      </c>
      <c r="H9" s="11" t="n">
        <f aca="false">B9+D9+F9</f>
        <v>7436</v>
      </c>
      <c r="I9" s="2" t="n">
        <f aca="false">C9+E9+G9</f>
        <v>14</v>
      </c>
    </row>
    <row r="10" customFormat="false" ht="15" hidden="false" customHeight="false" outlineLevel="0" collapsed="false">
      <c r="A10" s="2" t="n">
        <v>7</v>
      </c>
      <c r="B10" s="11" t="n">
        <f aca="false">SUMIFS(transactions_view!$F$2:$F$548,transactions_view!$C$2:$C$548,A10,transactions_view!$H$2:$H$548,"captured")</f>
        <v>11638</v>
      </c>
      <c r="C10" s="2" t="n">
        <f aca="false">COUNTIFS(transactions_view!$C$2:$C$548,A10,transactions_view!$H$2:$H$548,"captured")</f>
        <v>12</v>
      </c>
      <c r="D10" s="11" t="n">
        <f aca="false">SUMIFS(transactions_view!$F$2:$F$548,transactions_view!$C$2:$C$548,A10,transactions_view!$H$2:$H$548,"failed")</f>
        <v>2297</v>
      </c>
      <c r="E10" s="2" t="n">
        <f aca="false">COUNTIFS(transactions_view!$C$2:$C$548,A10,transactions_view!$H$2:$H$548,"failed")</f>
        <v>3</v>
      </c>
      <c r="F10" s="11" t="n">
        <f aca="false">SUMIFS(transactions_view!$F$2:$F$548,transactions_view!$C$2:$C$548,A10,transactions_view!$H$2:$H$548,"chargeback")</f>
        <v>1999</v>
      </c>
      <c r="G10" s="2" t="n">
        <f aca="false">COUNTIFS(transactions_view!$C$2:$C$548,A10,transactions_view!$H$2:$H$548,"chargeback")</f>
        <v>1</v>
      </c>
      <c r="H10" s="11" t="n">
        <f aca="false">B10+D10+F10</f>
        <v>15934</v>
      </c>
      <c r="I10" s="2" t="n">
        <f aca="false">C10+E10+G10</f>
        <v>16</v>
      </c>
    </row>
    <row r="11" customFormat="false" ht="15" hidden="false" customHeight="false" outlineLevel="0" collapsed="false">
      <c r="A11" s="2" t="n">
        <v>8</v>
      </c>
      <c r="B11" s="11" t="n">
        <f aca="false">SUMIFS(transactions_view!$F$2:$F$548,transactions_view!$C$2:$C$548,A11,transactions_view!$H$2:$H$548,"captured")</f>
        <v>7086</v>
      </c>
      <c r="C11" s="2" t="n">
        <f aca="false">COUNTIFS(transactions_view!$C$2:$C$548,A11,transactions_view!$H$2:$H$548,"captured")</f>
        <v>14</v>
      </c>
      <c r="D11" s="11" t="n">
        <f aca="false">SUMIFS(transactions_view!$F$2:$F$548,transactions_view!$C$2:$C$548,A11,transactions_view!$H$2:$H$548,"failed")</f>
        <v>299</v>
      </c>
      <c r="E11" s="2" t="n">
        <f aca="false">COUNTIFS(transactions_view!$C$2:$C$548,A11,transactions_view!$H$2:$H$548,"failed")</f>
        <v>1</v>
      </c>
      <c r="F11" s="11" t="n">
        <f aca="false">SUMIFS(transactions_view!$F$2:$F$548,transactions_view!$C$2:$C$548,A11,transactions_view!$H$2:$H$548,"chargeback")</f>
        <v>49</v>
      </c>
      <c r="G11" s="2" t="n">
        <f aca="false">COUNTIFS(transactions_view!$C$2:$C$548,A11,transactions_view!$H$2:$H$548,"chargeback")</f>
        <v>1</v>
      </c>
      <c r="H11" s="11" t="n">
        <f aca="false">B11+D11+F11</f>
        <v>7434</v>
      </c>
      <c r="I11" s="2" t="n">
        <f aca="false">C11+E11+G11</f>
        <v>16</v>
      </c>
    </row>
    <row r="12" customFormat="false" ht="15" hidden="false" customHeight="false" outlineLevel="0" collapsed="false">
      <c r="A12" s="2" t="n">
        <v>9</v>
      </c>
      <c r="B12" s="11" t="n">
        <f aca="false">SUMIFS(transactions_view!$F$2:$F$548,transactions_view!$C$2:$C$548,A12,transactions_view!$H$2:$H$548,"captured")</f>
        <v>4485</v>
      </c>
      <c r="C12" s="2" t="n">
        <f aca="false">COUNTIFS(transactions_view!$C$2:$C$548,A12,transactions_view!$H$2:$H$548,"captured")</f>
        <v>15</v>
      </c>
      <c r="D12" s="11" t="n">
        <f aca="false">SUMIFS(transactions_view!$F$2:$F$548,transactions_view!$C$2:$C$548,A12,transactions_view!$H$2:$H$548,"failed")</f>
        <v>497</v>
      </c>
      <c r="E12" s="2" t="n">
        <f aca="false">COUNTIFS(transactions_view!$C$2:$C$548,A12,transactions_view!$H$2:$H$548,"failed")</f>
        <v>3</v>
      </c>
      <c r="F12" s="11" t="n">
        <f aca="false">SUMIFS(transactions_view!$F$2:$F$548,transactions_view!$C$2:$C$548,A12,transactions_view!$H$2:$H$548,"chargeback")</f>
        <v>0</v>
      </c>
      <c r="G12" s="2" t="n">
        <f aca="false">COUNTIFS(transactions_view!$C$2:$C$548,A12,transactions_view!$H$2:$H$548,"chargeback")</f>
        <v>0</v>
      </c>
      <c r="H12" s="11" t="n">
        <f aca="false">B12+D12+F12</f>
        <v>4982</v>
      </c>
      <c r="I12" s="2" t="n">
        <f aca="false">C12+E12+G12</f>
        <v>18</v>
      </c>
    </row>
    <row r="13" customFormat="false" ht="15" hidden="false" customHeight="false" outlineLevel="0" collapsed="false">
      <c r="A13" s="2" t="n">
        <v>10</v>
      </c>
      <c r="B13" s="11" t="n">
        <f aca="false">SUMIFS(transactions_view!$F$2:$F$548,transactions_view!$C$2:$C$548,A13,transactions_view!$H$2:$H$548,"captured")</f>
        <v>7639</v>
      </c>
      <c r="C13" s="2" t="n">
        <f aca="false">COUNTIFS(transactions_view!$C$2:$C$548,A13,transactions_view!$H$2:$H$548,"captured")</f>
        <v>11</v>
      </c>
      <c r="D13" s="11" t="n">
        <f aca="false">SUMIFS(transactions_view!$F$2:$F$548,transactions_view!$C$2:$C$548,A13,transactions_view!$H$2:$H$548,"failed")</f>
        <v>399</v>
      </c>
      <c r="E13" s="2" t="n">
        <f aca="false">COUNTIFS(transactions_view!$C$2:$C$548,A13,transactions_view!$H$2:$H$548,"failed")</f>
        <v>1</v>
      </c>
      <c r="F13" s="11" t="n">
        <f aca="false">SUMIFS(transactions_view!$F$2:$F$548,transactions_view!$C$2:$C$548,A13,transactions_view!$H$2:$H$548,"chargeback")</f>
        <v>5048</v>
      </c>
      <c r="G13" s="2" t="n">
        <f aca="false">COUNTIFS(transactions_view!$C$2:$C$548,A13,transactions_view!$H$2:$H$548,"chargeback")</f>
        <v>2</v>
      </c>
      <c r="H13" s="11" t="n">
        <f aca="false">B13+D13+F13</f>
        <v>13086</v>
      </c>
      <c r="I13" s="2" t="n">
        <f aca="false">C13+E13+G13</f>
        <v>14</v>
      </c>
    </row>
    <row r="14" customFormat="false" ht="15" hidden="false" customHeight="false" outlineLevel="0" collapsed="false">
      <c r="A14" s="2" t="n">
        <v>11</v>
      </c>
      <c r="B14" s="11" t="n">
        <f aca="false">SUMIFS(transactions_view!$F$2:$F$548,transactions_view!$C$2:$C$548,A14,transactions_view!$H$2:$H$548,"captured")</f>
        <v>9292</v>
      </c>
      <c r="C14" s="2" t="n">
        <f aca="false">COUNTIFS(transactions_view!$C$2:$C$548,A14,transactions_view!$H$2:$H$548,"captured")</f>
        <v>8</v>
      </c>
      <c r="D14" s="11" t="n">
        <f aca="false">SUMIFS(transactions_view!$F$2:$F$548,transactions_view!$C$2:$C$548,A14,transactions_view!$H$2:$H$548,"failed")</f>
        <v>1499</v>
      </c>
      <c r="E14" s="2" t="n">
        <f aca="false">COUNTIFS(transactions_view!$C$2:$C$548,A14,transactions_view!$H$2:$H$548,"failed")</f>
        <v>1</v>
      </c>
      <c r="F14" s="11" t="n">
        <f aca="false">SUMIFS(transactions_view!$F$2:$F$548,transactions_view!$C$2:$C$548,A14,transactions_view!$H$2:$H$548,"chargeback")</f>
        <v>149</v>
      </c>
      <c r="G14" s="2" t="n">
        <f aca="false">COUNTIFS(transactions_view!$C$2:$C$548,A14,transactions_view!$H$2:$H$548,"chargeback")</f>
        <v>1</v>
      </c>
      <c r="H14" s="11" t="n">
        <f aca="false">B14+D14+F14</f>
        <v>10940</v>
      </c>
      <c r="I14" s="2" t="n">
        <f aca="false">C14+E14+G14</f>
        <v>10</v>
      </c>
    </row>
    <row r="15" customFormat="false" ht="15" hidden="false" customHeight="false" outlineLevel="0" collapsed="false">
      <c r="A15" s="2" t="n">
        <v>12</v>
      </c>
      <c r="B15" s="11" t="n">
        <f aca="false">SUMIFS(transactions_view!$F$2:$F$548,transactions_view!$C$2:$C$548,A15,transactions_view!$H$2:$H$548,"captured")</f>
        <v>9389</v>
      </c>
      <c r="C15" s="2" t="n">
        <f aca="false">COUNTIFS(transactions_view!$C$2:$C$548,A15,transactions_view!$H$2:$H$548,"captured")</f>
        <v>11</v>
      </c>
      <c r="D15" s="11" t="n">
        <f aca="false">SUMIFS(transactions_view!$F$2:$F$548,transactions_view!$C$2:$C$548,A15,transactions_view!$H$2:$H$548,"failed")</f>
        <v>998</v>
      </c>
      <c r="E15" s="2" t="n">
        <f aca="false">COUNTIFS(transactions_view!$C$2:$C$548,A15,transactions_view!$H$2:$H$548,"failed")</f>
        <v>2</v>
      </c>
      <c r="F15" s="11" t="n">
        <f aca="false">SUMIFS(transactions_view!$F$2:$F$548,transactions_view!$C$2:$C$548,A15,transactions_view!$H$2:$H$548,"chargeback")</f>
        <v>0</v>
      </c>
      <c r="G15" s="2" t="n">
        <f aca="false">COUNTIFS(transactions_view!$C$2:$C$548,A15,transactions_view!$H$2:$H$548,"chargeback")</f>
        <v>0</v>
      </c>
      <c r="H15" s="11" t="n">
        <f aca="false">B15+D15+F15</f>
        <v>10387</v>
      </c>
      <c r="I15" s="2" t="n">
        <f aca="false">C15+E15+G15</f>
        <v>13</v>
      </c>
    </row>
    <row r="16" customFormat="false" ht="15" hidden="false" customHeight="false" outlineLevel="0" collapsed="false">
      <c r="A16" s="2" t="n">
        <v>13</v>
      </c>
      <c r="B16" s="11" t="n">
        <f aca="false">SUMIFS(transactions_view!$F$2:$F$548,transactions_view!$C$2:$C$548,A16,transactions_view!$H$2:$H$548,"captured")</f>
        <v>10390</v>
      </c>
      <c r="C16" s="2" t="n">
        <f aca="false">COUNTIFS(transactions_view!$C$2:$C$548,A16,transactions_view!$H$2:$H$548,"captured")</f>
        <v>10</v>
      </c>
      <c r="D16" s="11" t="n">
        <f aca="false">SUMIFS(transactions_view!$F$2:$F$548,transactions_view!$C$2:$C$548,A16,transactions_view!$H$2:$H$548,"failed")</f>
        <v>2999</v>
      </c>
      <c r="E16" s="2" t="n">
        <f aca="false">COUNTIFS(transactions_view!$C$2:$C$548,A16,transactions_view!$H$2:$H$548,"failed")</f>
        <v>1</v>
      </c>
      <c r="F16" s="11" t="n">
        <f aca="false">SUMIFS(transactions_view!$F$2:$F$548,transactions_view!$C$2:$C$548,A16,transactions_view!$H$2:$H$548,"chargeback")</f>
        <v>4999</v>
      </c>
      <c r="G16" s="2" t="n">
        <f aca="false">COUNTIFS(transactions_view!$C$2:$C$548,A16,transactions_view!$H$2:$H$548,"chargeback")</f>
        <v>1</v>
      </c>
      <c r="H16" s="11" t="n">
        <f aca="false">B16+D16+F16</f>
        <v>18388</v>
      </c>
      <c r="I16" s="2" t="n">
        <f aca="false">C16+E16+G16</f>
        <v>12</v>
      </c>
    </row>
    <row r="17" customFormat="false" ht="15" hidden="false" customHeight="false" outlineLevel="0" collapsed="false">
      <c r="A17" s="2" t="n">
        <v>14</v>
      </c>
      <c r="B17" s="11" t="n">
        <f aca="false">SUMIFS(transactions_view!$F$2:$F$548,transactions_view!$C$2:$C$548,A17,transactions_view!$H$2:$H$548,"captured")</f>
        <v>6189</v>
      </c>
      <c r="C17" s="2" t="n">
        <f aca="false">COUNTIFS(transactions_view!$C$2:$C$548,A17,transactions_view!$H$2:$H$548,"captured")</f>
        <v>11</v>
      </c>
      <c r="D17" s="11" t="n">
        <f aca="false">SUMIFS(transactions_view!$F$2:$F$548,transactions_view!$C$2:$C$548,A17,transactions_view!$H$2:$H$548,"failed")</f>
        <v>299</v>
      </c>
      <c r="E17" s="2" t="n">
        <f aca="false">COUNTIFS(transactions_view!$C$2:$C$548,A17,transactions_view!$H$2:$H$548,"failed")</f>
        <v>1</v>
      </c>
      <c r="F17" s="11" t="n">
        <f aca="false">SUMIFS(transactions_view!$F$2:$F$548,transactions_view!$C$2:$C$548,A17,transactions_view!$H$2:$H$548,"chargeback")</f>
        <v>0</v>
      </c>
      <c r="G17" s="2" t="n">
        <f aca="false">COUNTIFS(transactions_view!$C$2:$C$548,A17,transactions_view!$H$2:$H$548,"chargeback")</f>
        <v>0</v>
      </c>
      <c r="H17" s="11" t="n">
        <f aca="false">B17+D17+F17</f>
        <v>6488</v>
      </c>
      <c r="I17" s="2" t="n">
        <f aca="false">C17+E17+G17</f>
        <v>12</v>
      </c>
    </row>
    <row r="18" customFormat="false" ht="15" hidden="false" customHeight="false" outlineLevel="0" collapsed="false">
      <c r="A18" s="2" t="n">
        <v>15</v>
      </c>
      <c r="B18" s="11" t="n">
        <f aca="false">SUMIFS(transactions_view!$F$2:$F$548,transactions_view!$C$2:$C$548,A18,transactions_view!$H$2:$H$548,"captured")</f>
        <v>7439</v>
      </c>
      <c r="C18" s="2" t="n">
        <f aca="false">COUNTIFS(transactions_view!$C$2:$C$548,A18,transactions_view!$H$2:$H$548,"captured")</f>
        <v>11</v>
      </c>
      <c r="D18" s="11" t="n">
        <f aca="false">SUMIFS(transactions_view!$F$2:$F$548,transactions_view!$C$2:$C$548,A18,transactions_view!$H$2:$H$548,"failed")</f>
        <v>399</v>
      </c>
      <c r="E18" s="2" t="n">
        <f aca="false">COUNTIFS(transactions_view!$C$2:$C$548,A18,transactions_view!$H$2:$H$548,"failed")</f>
        <v>1</v>
      </c>
      <c r="F18" s="11" t="n">
        <f aca="false">SUMIFS(transactions_view!$F$2:$F$548,transactions_view!$C$2:$C$548,A18,transactions_view!$H$2:$H$548,"chargeback")</f>
        <v>0</v>
      </c>
      <c r="G18" s="2" t="n">
        <f aca="false">COUNTIFS(transactions_view!$C$2:$C$548,A18,transactions_view!$H$2:$H$548,"chargeback")</f>
        <v>0</v>
      </c>
      <c r="H18" s="11" t="n">
        <f aca="false">B18+D18+F18</f>
        <v>7838</v>
      </c>
      <c r="I18" s="2" t="n">
        <f aca="false">C18+E18+G18</f>
        <v>12</v>
      </c>
    </row>
    <row r="19" customFormat="false" ht="15" hidden="false" customHeight="false" outlineLevel="0" collapsed="false">
      <c r="A19" s="2" t="n">
        <v>16</v>
      </c>
      <c r="B19" s="11" t="n">
        <f aca="false">SUMIFS(transactions_view!$F$2:$F$548,transactions_view!$C$2:$C$548,A19,transactions_view!$H$2:$H$548,"captured")</f>
        <v>10183</v>
      </c>
      <c r="C19" s="2" t="n">
        <f aca="false">COUNTIFS(transactions_view!$C$2:$C$548,A19,transactions_view!$H$2:$H$548,"captured")</f>
        <v>17</v>
      </c>
      <c r="D19" s="11" t="n">
        <f aca="false">SUMIFS(transactions_view!$F$2:$F$548,transactions_view!$C$2:$C$548,A19,transactions_view!$H$2:$H$548,"failed")</f>
        <v>947</v>
      </c>
      <c r="E19" s="2" t="n">
        <f aca="false">COUNTIFS(transactions_view!$C$2:$C$548,A19,transactions_view!$H$2:$H$548,"failed")</f>
        <v>3</v>
      </c>
      <c r="F19" s="11" t="n">
        <f aca="false">SUMIFS(transactions_view!$F$2:$F$548,transactions_view!$C$2:$C$548,A19,transactions_view!$H$2:$H$548,"chargeback")</f>
        <v>0</v>
      </c>
      <c r="G19" s="2" t="n">
        <f aca="false">COUNTIFS(transactions_view!$C$2:$C$548,A19,transactions_view!$H$2:$H$548,"chargeback")</f>
        <v>0</v>
      </c>
      <c r="H19" s="11" t="n">
        <f aca="false">B19+D19+F19</f>
        <v>11130</v>
      </c>
      <c r="I19" s="2" t="n">
        <f aca="false">C19+E19+G19</f>
        <v>20</v>
      </c>
    </row>
    <row r="20" customFormat="false" ht="15" hidden="false" customHeight="false" outlineLevel="0" collapsed="false">
      <c r="A20" s="2" t="n">
        <v>17</v>
      </c>
      <c r="B20" s="11" t="n">
        <f aca="false">SUMIFS(transactions_view!$F$2:$F$548,transactions_view!$C$2:$C$548,A20,transactions_view!$H$2:$H$548,"captured")</f>
        <v>12738</v>
      </c>
      <c r="C20" s="2" t="n">
        <f aca="false">COUNTIFS(transactions_view!$C$2:$C$548,A20,transactions_view!$H$2:$H$548,"captured")</f>
        <v>12</v>
      </c>
      <c r="D20" s="11" t="n">
        <f aca="false">SUMIFS(transactions_view!$F$2:$F$548,transactions_view!$C$2:$C$548,A20,transactions_view!$H$2:$H$548,"failed")</f>
        <v>299</v>
      </c>
      <c r="E20" s="2" t="n">
        <f aca="false">COUNTIFS(transactions_view!$C$2:$C$548,A20,transactions_view!$H$2:$H$548,"failed")</f>
        <v>1</v>
      </c>
      <c r="F20" s="11" t="n">
        <f aca="false">SUMIFS(transactions_view!$F$2:$F$548,transactions_view!$C$2:$C$548,A20,transactions_view!$H$2:$H$548,"chargeback")</f>
        <v>0</v>
      </c>
      <c r="G20" s="2" t="n">
        <f aca="false">COUNTIFS(transactions_view!$C$2:$C$548,A20,transactions_view!$H$2:$H$548,"chargeback")</f>
        <v>0</v>
      </c>
      <c r="H20" s="11" t="n">
        <f aca="false">B20+D20+F20</f>
        <v>13037</v>
      </c>
      <c r="I20" s="2" t="n">
        <f aca="false">C20+E20+G20</f>
        <v>13</v>
      </c>
    </row>
    <row r="21" customFormat="false" ht="15" hidden="false" customHeight="false" outlineLevel="0" collapsed="false">
      <c r="A21" s="2" t="n">
        <v>18</v>
      </c>
      <c r="B21" s="11" t="n">
        <f aca="false">SUMIFS(transactions_view!$F$2:$F$548,transactions_view!$C$2:$C$548,A21,transactions_view!$H$2:$H$548,"captured")</f>
        <v>7089</v>
      </c>
      <c r="C21" s="2" t="n">
        <f aca="false">COUNTIFS(transactions_view!$C$2:$C$548,A21,transactions_view!$H$2:$H$548,"captured")</f>
        <v>11</v>
      </c>
      <c r="D21" s="11" t="n">
        <f aca="false">SUMIFS(transactions_view!$F$2:$F$548,transactions_view!$C$2:$C$548,A21,transactions_view!$H$2:$H$548,"failed")</f>
        <v>0</v>
      </c>
      <c r="E21" s="2" t="n">
        <f aca="false">COUNTIFS(transactions_view!$C$2:$C$548,A21,transactions_view!$H$2:$H$548,"failed")</f>
        <v>0</v>
      </c>
      <c r="F21" s="11" t="n">
        <f aca="false">SUMIFS(transactions_view!$F$2:$F$548,transactions_view!$C$2:$C$548,A21,transactions_view!$H$2:$H$548,"chargeback")</f>
        <v>0</v>
      </c>
      <c r="G21" s="2" t="n">
        <f aca="false">COUNTIFS(transactions_view!$C$2:$C$548,A21,transactions_view!$H$2:$H$548,"chargeback")</f>
        <v>0</v>
      </c>
      <c r="H21" s="11" t="n">
        <f aca="false">B21+D21+F21</f>
        <v>7089</v>
      </c>
      <c r="I21" s="2" t="n">
        <f aca="false">C21+E21+G21</f>
        <v>11</v>
      </c>
    </row>
    <row r="22" customFormat="false" ht="15" hidden="false" customHeight="false" outlineLevel="0" collapsed="false">
      <c r="A22" s="2" t="n">
        <v>19</v>
      </c>
      <c r="B22" s="11" t="n">
        <f aca="false">SUMIFS(transactions_view!$F$2:$F$548,transactions_view!$C$2:$C$548,A22,transactions_view!$H$2:$H$548,"captured")</f>
        <v>7239</v>
      </c>
      <c r="C22" s="2" t="n">
        <f aca="false">COUNTIFS(transactions_view!$C$2:$C$548,A22,transactions_view!$H$2:$H$548,"captured")</f>
        <v>11</v>
      </c>
      <c r="D22" s="11" t="n">
        <f aca="false">SUMIFS(transactions_view!$F$2:$F$548,transactions_view!$C$2:$C$548,A22,transactions_view!$H$2:$H$548,"failed")</f>
        <v>598</v>
      </c>
      <c r="E22" s="2" t="n">
        <f aca="false">COUNTIFS(transactions_view!$C$2:$C$548,A22,transactions_view!$H$2:$H$548,"failed")</f>
        <v>2</v>
      </c>
      <c r="F22" s="11" t="n">
        <f aca="false">SUMIFS(transactions_view!$F$2:$F$548,transactions_view!$C$2:$C$548,A22,transactions_view!$H$2:$H$548,"chargeback")</f>
        <v>4999</v>
      </c>
      <c r="G22" s="2" t="n">
        <f aca="false">COUNTIFS(transactions_view!$C$2:$C$548,A22,transactions_view!$H$2:$H$548,"chargeback")</f>
        <v>1</v>
      </c>
      <c r="H22" s="11" t="n">
        <f aca="false">B22+D22+F22</f>
        <v>12836</v>
      </c>
      <c r="I22" s="2" t="n">
        <f aca="false">C22+E22+G22</f>
        <v>14</v>
      </c>
    </row>
    <row r="23" customFormat="false" ht="15" hidden="false" customHeight="false" outlineLevel="0" collapsed="false">
      <c r="A23" s="2" t="n">
        <v>20</v>
      </c>
      <c r="B23" s="11" t="n">
        <f aca="false">SUMIFS(transactions_view!$F$2:$F$548,transactions_view!$C$2:$C$548,A23,transactions_view!$H$2:$H$548,"captured")</f>
        <v>4192</v>
      </c>
      <c r="C23" s="2" t="n">
        <f aca="false">COUNTIFS(transactions_view!$C$2:$C$548,A23,transactions_view!$H$2:$H$548,"captured")</f>
        <v>8</v>
      </c>
      <c r="D23" s="11" t="n">
        <f aca="false">SUMIFS(transactions_view!$F$2:$F$548,transactions_view!$C$2:$C$548,A23,transactions_view!$H$2:$H$548,"failed")</f>
        <v>49</v>
      </c>
      <c r="E23" s="2" t="n">
        <f aca="false">COUNTIFS(transactions_view!$C$2:$C$548,A23,transactions_view!$H$2:$H$548,"failed")</f>
        <v>1</v>
      </c>
      <c r="F23" s="11" t="n">
        <f aca="false">SUMIFS(transactions_view!$F$2:$F$548,transactions_view!$C$2:$C$548,A23,transactions_view!$H$2:$H$548,"chargeback")</f>
        <v>0</v>
      </c>
      <c r="G23" s="2" t="n">
        <f aca="false">COUNTIFS(transactions_view!$C$2:$C$548,A23,transactions_view!$H$2:$H$548,"chargeback")</f>
        <v>0</v>
      </c>
      <c r="H23" s="11" t="n">
        <f aca="false">B23+D23+F23</f>
        <v>4241</v>
      </c>
      <c r="I23" s="2" t="n">
        <f aca="false">C23+E23+G23</f>
        <v>9</v>
      </c>
    </row>
    <row r="24" customFormat="false" ht="15" hidden="false" customHeight="false" outlineLevel="0" collapsed="false">
      <c r="A24" s="2" t="n">
        <v>21</v>
      </c>
      <c r="B24" s="11" t="n">
        <f aca="false">SUMIFS(transactions_view!$F$2:$F$548,transactions_view!$C$2:$C$548,A24,transactions_view!$H$2:$H$548,"captured")</f>
        <v>3887</v>
      </c>
      <c r="C24" s="2" t="n">
        <f aca="false">COUNTIFS(transactions_view!$C$2:$C$548,A24,transactions_view!$H$2:$H$548,"captured")</f>
        <v>13</v>
      </c>
      <c r="D24" s="11" t="n">
        <f aca="false">SUMIFS(transactions_view!$F$2:$F$548,transactions_view!$C$2:$C$548,A24,transactions_view!$H$2:$H$548,"failed")</f>
        <v>4999</v>
      </c>
      <c r="E24" s="2" t="n">
        <f aca="false">COUNTIFS(transactions_view!$C$2:$C$548,A24,transactions_view!$H$2:$H$548,"failed")</f>
        <v>1</v>
      </c>
      <c r="F24" s="11" t="n">
        <f aca="false">SUMIFS(transactions_view!$F$2:$F$548,transactions_view!$C$2:$C$548,A24,transactions_view!$H$2:$H$548,"chargeback")</f>
        <v>0</v>
      </c>
      <c r="G24" s="2" t="n">
        <f aca="false">COUNTIFS(transactions_view!$C$2:$C$548,A24,transactions_view!$H$2:$H$548,"chargeback")</f>
        <v>0</v>
      </c>
      <c r="H24" s="11" t="n">
        <f aca="false">B24+D24+F24</f>
        <v>8886</v>
      </c>
      <c r="I24" s="2" t="n">
        <f aca="false">C24+E24+G24</f>
        <v>14</v>
      </c>
    </row>
    <row r="25" customFormat="false" ht="15" hidden="false" customHeight="false" outlineLevel="0" collapsed="false">
      <c r="A25" s="2" t="n">
        <v>22</v>
      </c>
      <c r="B25" s="11" t="n">
        <f aca="false">SUMIFS(transactions_view!$F$2:$F$548,transactions_view!$C$2:$C$548,A25,transactions_view!$H$2:$H$548,"captured")</f>
        <v>11336</v>
      </c>
      <c r="C25" s="2" t="n">
        <f aca="false">COUNTIFS(transactions_view!$C$2:$C$548,A25,transactions_view!$H$2:$H$548,"captured")</f>
        <v>14</v>
      </c>
      <c r="D25" s="11" t="n">
        <f aca="false">SUMIFS(transactions_view!$F$2:$F$548,transactions_view!$C$2:$C$548,A25,transactions_view!$H$2:$H$548,"failed")</f>
        <v>1198</v>
      </c>
      <c r="E25" s="2" t="n">
        <f aca="false">COUNTIFS(transactions_view!$C$2:$C$548,A25,transactions_view!$H$2:$H$548,"failed")</f>
        <v>2</v>
      </c>
      <c r="F25" s="11" t="n">
        <f aca="false">SUMIFS(transactions_view!$F$2:$F$548,transactions_view!$C$2:$C$548,A25,transactions_view!$H$2:$H$548,"chargeback")</f>
        <v>0</v>
      </c>
      <c r="G25" s="2" t="n">
        <f aca="false">COUNTIFS(transactions_view!$C$2:$C$548,A25,transactions_view!$H$2:$H$548,"chargeback")</f>
        <v>0</v>
      </c>
      <c r="H25" s="11" t="n">
        <f aca="false">B25+D25+F25</f>
        <v>12534</v>
      </c>
      <c r="I25" s="2" t="n">
        <f aca="false">C25+E25+G25</f>
        <v>16</v>
      </c>
    </row>
    <row r="26" customFormat="false" ht="15" hidden="false" customHeight="false" outlineLevel="0" collapsed="false">
      <c r="A26" s="2" t="n">
        <v>23</v>
      </c>
      <c r="B26" s="11" t="n">
        <f aca="false">SUMIFS(transactions_view!$F$2:$F$548,transactions_view!$C$2:$C$548,A26,transactions_view!$H$2:$H$548,"captured")</f>
        <v>1041</v>
      </c>
      <c r="C26" s="2" t="n">
        <f aca="false">COUNTIFS(transactions_view!$C$2:$C$548,A26,transactions_view!$H$2:$H$548,"captured")</f>
        <v>9</v>
      </c>
      <c r="D26" s="11" t="n">
        <f aca="false">SUMIFS(transactions_view!$F$2:$F$548,transactions_view!$C$2:$C$548,A26,transactions_view!$H$2:$H$548,"failed")</f>
        <v>0</v>
      </c>
      <c r="E26" s="2" t="n">
        <f aca="false">COUNTIFS(transactions_view!$C$2:$C$548,A26,transactions_view!$H$2:$H$548,"failed")</f>
        <v>0</v>
      </c>
      <c r="F26" s="11" t="n">
        <f aca="false">SUMIFS(transactions_view!$F$2:$F$548,transactions_view!$C$2:$C$548,A26,transactions_view!$H$2:$H$548,"chargeback")</f>
        <v>1999</v>
      </c>
      <c r="G26" s="2" t="n">
        <f aca="false">COUNTIFS(transactions_view!$C$2:$C$548,A26,transactions_view!$H$2:$H$548,"chargeback")</f>
        <v>1</v>
      </c>
      <c r="H26" s="11" t="n">
        <f aca="false">B26+D26+F26</f>
        <v>3040</v>
      </c>
      <c r="I26" s="2" t="n">
        <f aca="false">C26+E26+G26</f>
        <v>10</v>
      </c>
    </row>
    <row r="27" customFormat="false" ht="15" hidden="false" customHeight="false" outlineLevel="0" collapsed="false">
      <c r="A27" s="2" t="n">
        <v>24</v>
      </c>
      <c r="B27" s="11" t="n">
        <f aca="false">SUMIFS(transactions_view!$F$2:$F$548,transactions_view!$C$2:$C$548,A27,transactions_view!$H$2:$H$548,"captured")</f>
        <v>3438</v>
      </c>
      <c r="C27" s="2" t="n">
        <f aca="false">COUNTIFS(transactions_view!$C$2:$C$548,A27,transactions_view!$H$2:$H$548,"captured")</f>
        <v>12</v>
      </c>
      <c r="D27" s="11" t="n">
        <f aca="false">SUMIFS(transactions_view!$F$2:$F$548,transactions_view!$C$2:$C$548,A27,transactions_view!$H$2:$H$548,"failed")</f>
        <v>0</v>
      </c>
      <c r="E27" s="2" t="n">
        <f aca="false">COUNTIFS(transactions_view!$C$2:$C$548,A27,transactions_view!$H$2:$H$548,"failed")</f>
        <v>0</v>
      </c>
      <c r="F27" s="11" t="n">
        <f aca="false">SUMIFS(transactions_view!$F$2:$F$548,transactions_view!$C$2:$C$548,A27,transactions_view!$H$2:$H$548,"chargeback")</f>
        <v>149</v>
      </c>
      <c r="G27" s="2" t="n">
        <f aca="false">COUNTIFS(transactions_view!$C$2:$C$548,A27,transactions_view!$H$2:$H$548,"chargeback")</f>
        <v>1</v>
      </c>
      <c r="H27" s="11" t="n">
        <f aca="false">B27+D27+F27</f>
        <v>3587</v>
      </c>
      <c r="I27" s="2" t="n">
        <f aca="false">C27+E27+G27</f>
        <v>13</v>
      </c>
    </row>
    <row r="28" customFormat="false" ht="15" hidden="false" customHeight="false" outlineLevel="0" collapsed="false">
      <c r="A28" s="2" t="n">
        <v>25</v>
      </c>
      <c r="B28" s="11" t="n">
        <f aca="false">SUMIFS(transactions_view!$F$2:$F$548,transactions_view!$C$2:$C$548,A28,transactions_view!$H$2:$H$548,"captured")</f>
        <v>12534</v>
      </c>
      <c r="C28" s="2" t="n">
        <f aca="false">COUNTIFS(transactions_view!$C$2:$C$548,A28,transactions_view!$H$2:$H$548,"captured")</f>
        <v>16</v>
      </c>
      <c r="D28" s="11" t="n">
        <f aca="false">SUMIFS(transactions_view!$F$2:$F$548,transactions_view!$C$2:$C$548,A28,transactions_view!$H$2:$H$548,"failed")</f>
        <v>0</v>
      </c>
      <c r="E28" s="2" t="n">
        <f aca="false">COUNTIFS(transactions_view!$C$2:$C$548,A28,transactions_view!$H$2:$H$548,"failed")</f>
        <v>0</v>
      </c>
      <c r="F28" s="11" t="n">
        <f aca="false">SUMIFS(transactions_view!$F$2:$F$548,transactions_view!$C$2:$C$548,A28,transactions_view!$H$2:$H$548,"chargeback")</f>
        <v>2999</v>
      </c>
      <c r="G28" s="2" t="n">
        <f aca="false">COUNTIFS(transactions_view!$C$2:$C$548,A28,transactions_view!$H$2:$H$548,"chargeback")</f>
        <v>1</v>
      </c>
      <c r="H28" s="11" t="n">
        <f aca="false">B28+D28+F28</f>
        <v>15533</v>
      </c>
      <c r="I28" s="2" t="n">
        <f aca="false">C28+E28+G28</f>
        <v>17</v>
      </c>
    </row>
    <row r="29" customFormat="false" ht="15" hidden="false" customHeight="false" outlineLevel="0" collapsed="false">
      <c r="A29" s="2" t="n">
        <v>26</v>
      </c>
      <c r="B29" s="11" t="n">
        <f aca="false">SUMIFS(transactions_view!$F$2:$F$548,transactions_view!$C$2:$C$548,A29,transactions_view!$H$2:$H$548,"captured")</f>
        <v>2991</v>
      </c>
      <c r="C29" s="2" t="n">
        <f aca="false">COUNTIFS(transactions_view!$C$2:$C$548,A29,transactions_view!$H$2:$H$548,"captured")</f>
        <v>9</v>
      </c>
      <c r="D29" s="11" t="n">
        <f aca="false">SUMIFS(transactions_view!$F$2:$F$548,transactions_view!$C$2:$C$548,A29,transactions_view!$H$2:$H$548,"failed")</f>
        <v>2197</v>
      </c>
      <c r="E29" s="2" t="n">
        <f aca="false">COUNTIFS(transactions_view!$C$2:$C$548,A29,transactions_view!$H$2:$H$548,"failed")</f>
        <v>3</v>
      </c>
      <c r="F29" s="11" t="n">
        <f aca="false">SUMIFS(transactions_view!$F$2:$F$548,transactions_view!$C$2:$C$548,A29,transactions_view!$H$2:$H$548,"chargeback")</f>
        <v>0</v>
      </c>
      <c r="G29" s="2" t="n">
        <f aca="false">COUNTIFS(transactions_view!$C$2:$C$548,A29,transactions_view!$H$2:$H$548,"chargeback")</f>
        <v>0</v>
      </c>
      <c r="H29" s="11" t="n">
        <f aca="false">B29+D29+F29</f>
        <v>5188</v>
      </c>
      <c r="I29" s="2" t="n">
        <f aca="false">C29+E29+G29</f>
        <v>12</v>
      </c>
    </row>
    <row r="30" customFormat="false" ht="15" hidden="false" customHeight="false" outlineLevel="0" collapsed="false">
      <c r="A30" s="2" t="n">
        <v>27</v>
      </c>
      <c r="B30" s="11" t="n">
        <f aca="false">SUMIFS(transactions_view!$F$2:$F$548,transactions_view!$C$2:$C$548,A30,transactions_view!$H$2:$H$548,"captured")</f>
        <v>8038</v>
      </c>
      <c r="C30" s="2" t="n">
        <f aca="false">COUNTIFS(transactions_view!$C$2:$C$548,A30,transactions_view!$H$2:$H$548,"captured")</f>
        <v>12</v>
      </c>
      <c r="D30" s="11" t="n">
        <f aca="false">SUMIFS(transactions_view!$F$2:$F$548,transactions_view!$C$2:$C$548,A30,transactions_view!$H$2:$H$548,"failed")</f>
        <v>1499</v>
      </c>
      <c r="E30" s="2" t="n">
        <f aca="false">COUNTIFS(transactions_view!$C$2:$C$548,A30,transactions_view!$H$2:$H$548,"failed")</f>
        <v>1</v>
      </c>
      <c r="F30" s="11" t="n">
        <f aca="false">SUMIFS(transactions_view!$F$2:$F$548,transactions_view!$C$2:$C$548,A30,transactions_view!$H$2:$H$548,"chargeback")</f>
        <v>4047</v>
      </c>
      <c r="G30" s="2" t="n">
        <f aca="false">COUNTIFS(transactions_view!$C$2:$C$548,A30,transactions_view!$H$2:$H$548,"chargeback")</f>
        <v>3</v>
      </c>
      <c r="H30" s="11" t="n">
        <f aca="false">B30+D30+F30</f>
        <v>13584</v>
      </c>
      <c r="I30" s="2" t="n">
        <f aca="false">C30+E30+G30</f>
        <v>16</v>
      </c>
    </row>
    <row r="31" customFormat="false" ht="15" hidden="false" customHeight="false" outlineLevel="0" collapsed="false">
      <c r="A31" s="2" t="n">
        <v>28</v>
      </c>
      <c r="B31" s="11" t="n">
        <f aca="false">SUMIFS(transactions_view!$F$2:$F$548,transactions_view!$C$2:$C$548,A31,transactions_view!$H$2:$H$548,"captured")</f>
        <v>4493</v>
      </c>
      <c r="C31" s="2" t="n">
        <f aca="false">COUNTIFS(transactions_view!$C$2:$C$548,A31,transactions_view!$H$2:$H$548,"captured")</f>
        <v>7</v>
      </c>
      <c r="D31" s="11" t="n">
        <f aca="false">SUMIFS(transactions_view!$F$2:$F$548,transactions_view!$C$2:$C$548,A31,transactions_view!$H$2:$H$548,"failed")</f>
        <v>3048</v>
      </c>
      <c r="E31" s="2" t="n">
        <f aca="false">COUNTIFS(transactions_view!$C$2:$C$548,A31,transactions_view!$H$2:$H$548,"failed")</f>
        <v>2</v>
      </c>
      <c r="F31" s="11" t="n">
        <f aca="false">SUMIFS(transactions_view!$F$2:$F$548,transactions_view!$C$2:$C$548,A31,transactions_view!$H$2:$H$548,"chargeback")</f>
        <v>1999</v>
      </c>
      <c r="G31" s="2" t="n">
        <f aca="false">COUNTIFS(transactions_view!$C$2:$C$548,A31,transactions_view!$H$2:$H$548,"chargeback")</f>
        <v>1</v>
      </c>
      <c r="H31" s="11" t="n">
        <f aca="false">B31+D31+F31</f>
        <v>9540</v>
      </c>
      <c r="I31" s="2" t="n">
        <f aca="false">C31+E31+G31</f>
        <v>10</v>
      </c>
    </row>
    <row r="32" customFormat="false" ht="15" hidden="false" customHeight="false" outlineLevel="0" collapsed="false">
      <c r="A32" s="2" t="n">
        <v>29</v>
      </c>
      <c r="B32" s="11" t="n">
        <f aca="false">SUMIFS(transactions_view!$F$2:$F$548,transactions_view!$C$2:$C$548,A32,transactions_view!$H$2:$H$548,"captured")</f>
        <v>5686</v>
      </c>
      <c r="C32" s="2" t="n">
        <f aca="false">COUNTIFS(transactions_view!$C$2:$C$548,A32,transactions_view!$H$2:$H$548,"captured")</f>
        <v>14</v>
      </c>
      <c r="D32" s="11" t="n">
        <f aca="false">SUMIFS(transactions_view!$F$2:$F$548,transactions_view!$C$2:$C$548,A32,transactions_view!$H$2:$H$548,"failed")</f>
        <v>3498</v>
      </c>
      <c r="E32" s="2" t="n">
        <f aca="false">COUNTIFS(transactions_view!$C$2:$C$548,A32,transactions_view!$H$2:$H$548,"failed")</f>
        <v>2</v>
      </c>
      <c r="F32" s="11" t="n">
        <f aca="false">SUMIFS(transactions_view!$F$2:$F$548,transactions_view!$C$2:$C$548,A32,transactions_view!$H$2:$H$548,"chargeback")</f>
        <v>3897</v>
      </c>
      <c r="G32" s="2" t="n">
        <f aca="false">COUNTIFS(transactions_view!$C$2:$C$548,A32,transactions_view!$H$2:$H$548,"chargeback")</f>
        <v>3</v>
      </c>
      <c r="H32" s="11" t="n">
        <f aca="false">B32+D32+F32</f>
        <v>13081</v>
      </c>
      <c r="I32" s="2" t="n">
        <f aca="false">C32+E32+G32</f>
        <v>19</v>
      </c>
    </row>
    <row r="33" customFormat="false" ht="15" hidden="false" customHeight="false" outlineLevel="0" collapsed="false">
      <c r="A33" s="2" t="n">
        <v>30</v>
      </c>
      <c r="B33" s="11" t="n">
        <f aca="false">SUMIFS(transactions_view!$F$2:$F$548,transactions_view!$C$2:$C$548,A33,transactions_view!$H$2:$H$548,"captured")</f>
        <v>7384</v>
      </c>
      <c r="C33" s="2" t="n">
        <f aca="false">COUNTIFS(transactions_view!$C$2:$C$548,A33,transactions_view!$H$2:$H$548,"captured")</f>
        <v>16</v>
      </c>
      <c r="D33" s="11" t="n">
        <f aca="false">SUMIFS(transactions_view!$F$2:$F$548,transactions_view!$C$2:$C$548,A33,transactions_view!$H$2:$H$548,"failed")</f>
        <v>499</v>
      </c>
      <c r="E33" s="2" t="n">
        <f aca="false">COUNTIFS(transactions_view!$C$2:$C$548,A33,transactions_view!$H$2:$H$548,"failed")</f>
        <v>1</v>
      </c>
      <c r="F33" s="11" t="n">
        <f aca="false">SUMIFS(transactions_view!$F$2:$F$548,transactions_view!$C$2:$C$548,A33,transactions_view!$H$2:$H$548,"chargeback")</f>
        <v>0</v>
      </c>
      <c r="G33" s="2" t="n">
        <f aca="false">COUNTIFS(transactions_view!$C$2:$C$548,A33,transactions_view!$H$2:$H$548,"chargeback")</f>
        <v>0</v>
      </c>
      <c r="H33" s="11" t="n">
        <f aca="false">B33+D33+F33</f>
        <v>7883</v>
      </c>
      <c r="I33" s="2" t="n">
        <f aca="false">C33+E33+G33</f>
        <v>17</v>
      </c>
    </row>
    <row r="34" customFormat="false" ht="15" hidden="false" customHeight="false" outlineLevel="0" collapsed="false">
      <c r="A34" s="2" t="n">
        <v>31</v>
      </c>
      <c r="B34" s="11" t="n">
        <f aca="false">SUMIFS(transactions_view!$F$2:$F$548,transactions_view!$C$2:$C$548,A34,transactions_view!$H$2:$H$548,"captured")</f>
        <v>2640</v>
      </c>
      <c r="C34" s="2" t="n">
        <f aca="false">COUNTIFS(transactions_view!$C$2:$C$548,A34,transactions_view!$H$2:$H$548,"captured")</f>
        <v>10</v>
      </c>
      <c r="D34" s="11" t="n">
        <f aca="false">SUMIFS(transactions_view!$F$2:$F$548,transactions_view!$C$2:$C$548,A34,transactions_view!$H$2:$H$548,"failed")</f>
        <v>2146</v>
      </c>
      <c r="E34" s="2" t="n">
        <f aca="false">COUNTIFS(transactions_view!$C$2:$C$548,A34,transactions_view!$H$2:$H$548,"failed")</f>
        <v>4</v>
      </c>
      <c r="F34" s="11" t="n">
        <f aca="false">SUMIFS(transactions_view!$F$2:$F$548,transactions_view!$C$2:$C$548,A34,transactions_view!$H$2:$H$548,"chargeback")</f>
        <v>49</v>
      </c>
      <c r="G34" s="2" t="n">
        <f aca="false">COUNTIFS(transactions_view!$C$2:$C$548,A34,transactions_view!$H$2:$H$548,"chargeback")</f>
        <v>1</v>
      </c>
      <c r="H34" s="11" t="n">
        <f aca="false">B34+D34+F34</f>
        <v>4835</v>
      </c>
      <c r="I34" s="2" t="n">
        <f aca="false">C34+E34+G34</f>
        <v>15</v>
      </c>
    </row>
    <row r="35" customFormat="false" ht="15" hidden="false" customHeight="false" outlineLevel="0" collapsed="false">
      <c r="A35" s="2" t="n">
        <v>32</v>
      </c>
      <c r="B35" s="11" t="n">
        <f aca="false">SUMIFS(transactions_view!$F$2:$F$548,transactions_view!$C$2:$C$548,A35,transactions_view!$H$2:$H$548,"captured")</f>
        <v>2589</v>
      </c>
      <c r="C35" s="2" t="n">
        <f aca="false">COUNTIFS(transactions_view!$C$2:$C$548,A35,transactions_view!$H$2:$H$548,"captured")</f>
        <v>11</v>
      </c>
      <c r="D35" s="11" t="n">
        <f aca="false">SUMIFS(transactions_view!$F$2:$F$548,transactions_view!$C$2:$C$548,A35,transactions_view!$H$2:$H$548,"failed")</f>
        <v>3498</v>
      </c>
      <c r="E35" s="2" t="n">
        <f aca="false">COUNTIFS(transactions_view!$C$2:$C$548,A35,transactions_view!$H$2:$H$548,"failed")</f>
        <v>2</v>
      </c>
      <c r="F35" s="11" t="n">
        <f aca="false">SUMIFS(transactions_view!$F$2:$F$548,transactions_view!$C$2:$C$548,A35,transactions_view!$H$2:$H$548,"chargeback")</f>
        <v>1999</v>
      </c>
      <c r="G35" s="2" t="n">
        <f aca="false">COUNTIFS(transactions_view!$C$2:$C$548,A35,transactions_view!$H$2:$H$548,"chargeback")</f>
        <v>1</v>
      </c>
      <c r="H35" s="11" t="n">
        <f aca="false">B35+D35+F35</f>
        <v>8086</v>
      </c>
      <c r="I35" s="2" t="n">
        <f aca="false">C35+E35+G35</f>
        <v>14</v>
      </c>
    </row>
    <row r="36" customFormat="false" ht="15" hidden="false" customHeight="false" outlineLevel="0" collapsed="false">
      <c r="A36" s="2" t="n">
        <v>33</v>
      </c>
      <c r="B36" s="11" t="n">
        <f aca="false">SUMIFS(transactions_view!$F$2:$F$548,transactions_view!$C$2:$C$548,A36,transactions_view!$H$2:$H$548,"captured")</f>
        <v>10190</v>
      </c>
      <c r="C36" s="2" t="n">
        <f aca="false">COUNTIFS(transactions_view!$C$2:$C$548,A36,transactions_view!$H$2:$H$548,"captured")</f>
        <v>10</v>
      </c>
      <c r="D36" s="11" t="n">
        <f aca="false">SUMIFS(transactions_view!$F$2:$F$548,transactions_view!$C$2:$C$548,A36,transactions_view!$H$2:$H$548,"failed")</f>
        <v>149</v>
      </c>
      <c r="E36" s="2" t="n">
        <f aca="false">COUNTIFS(transactions_view!$C$2:$C$548,A36,transactions_view!$H$2:$H$548,"failed")</f>
        <v>1</v>
      </c>
      <c r="F36" s="11" t="n">
        <f aca="false">SUMIFS(transactions_view!$F$2:$F$548,transactions_view!$C$2:$C$548,A36,transactions_view!$H$2:$H$548,"chargeback")</f>
        <v>0</v>
      </c>
      <c r="G36" s="2" t="n">
        <f aca="false">COUNTIFS(transactions_view!$C$2:$C$548,A36,transactions_view!$H$2:$H$548,"chargeback")</f>
        <v>0</v>
      </c>
      <c r="H36" s="11" t="n">
        <f aca="false">B36+D36+F36</f>
        <v>10339</v>
      </c>
      <c r="I36" s="2" t="n">
        <f aca="false">C36+E36+G36</f>
        <v>11</v>
      </c>
    </row>
    <row r="37" customFormat="false" ht="15" hidden="false" customHeight="false" outlineLevel="0" collapsed="false">
      <c r="A37" s="2" t="n">
        <v>34</v>
      </c>
      <c r="B37" s="11" t="n">
        <f aca="false">SUMIFS(transactions_view!$F$2:$F$548,transactions_view!$C$2:$C$548,A37,transactions_view!$H$2:$H$548,"captured")</f>
        <v>9635</v>
      </c>
      <c r="C37" s="2" t="n">
        <f aca="false">COUNTIFS(transactions_view!$C$2:$C$548,A37,transactions_view!$H$2:$H$548,"captured")</f>
        <v>15</v>
      </c>
      <c r="D37" s="11" t="n">
        <f aca="false">SUMIFS(transactions_view!$F$2:$F$548,transactions_view!$C$2:$C$548,A37,transactions_view!$H$2:$H$548,"failed")</f>
        <v>399</v>
      </c>
      <c r="E37" s="2" t="n">
        <f aca="false">COUNTIFS(transactions_view!$C$2:$C$548,A37,transactions_view!$H$2:$H$548,"failed")</f>
        <v>1</v>
      </c>
      <c r="F37" s="11" t="n">
        <f aca="false">SUMIFS(transactions_view!$F$2:$F$548,transactions_view!$C$2:$C$548,A37,transactions_view!$H$2:$H$548,"chargeback")</f>
        <v>0</v>
      </c>
      <c r="G37" s="2" t="n">
        <f aca="false">COUNTIFS(transactions_view!$C$2:$C$548,A37,transactions_view!$H$2:$H$548,"chargeback")</f>
        <v>0</v>
      </c>
      <c r="H37" s="11" t="n">
        <f aca="false">B37+D37+F37</f>
        <v>10034</v>
      </c>
      <c r="I37" s="2" t="n">
        <f aca="false">C37+E37+G37</f>
        <v>16</v>
      </c>
    </row>
    <row r="38" customFormat="false" ht="15" hidden="false" customHeight="false" outlineLevel="0" collapsed="false">
      <c r="A38" s="2" t="n">
        <v>35</v>
      </c>
      <c r="B38" s="11" t="n">
        <f aca="false">SUMIFS(transactions_view!$F$2:$F$548,transactions_view!$C$2:$C$548,A38,transactions_view!$H$2:$H$548,"captured")</f>
        <v>8688</v>
      </c>
      <c r="C38" s="2" t="n">
        <f aca="false">COUNTIFS(transactions_view!$C$2:$C$548,A38,transactions_view!$H$2:$H$548,"captured")</f>
        <v>12</v>
      </c>
      <c r="D38" s="11" t="n">
        <f aca="false">SUMIFS(transactions_view!$F$2:$F$548,transactions_view!$C$2:$C$548,A38,transactions_view!$H$2:$H$548,"failed")</f>
        <v>598</v>
      </c>
      <c r="E38" s="2" t="n">
        <f aca="false">COUNTIFS(transactions_view!$C$2:$C$548,A38,transactions_view!$H$2:$H$548,"failed")</f>
        <v>2</v>
      </c>
      <c r="F38" s="11" t="n">
        <f aca="false">SUMIFS(transactions_view!$F$2:$F$548,transactions_view!$C$2:$C$548,A38,transactions_view!$H$2:$H$548,"chargeback")</f>
        <v>0</v>
      </c>
      <c r="G38" s="2" t="n">
        <f aca="false">COUNTIFS(transactions_view!$C$2:$C$548,A38,transactions_view!$H$2:$H$548,"chargeback")</f>
        <v>0</v>
      </c>
      <c r="H38" s="11" t="n">
        <f aca="false">B38+D38+F38</f>
        <v>9286</v>
      </c>
      <c r="I38" s="2" t="n">
        <f aca="false">C38+E38+G38</f>
        <v>14</v>
      </c>
    </row>
    <row r="39" customFormat="false" ht="15" hidden="false" customHeight="false" outlineLevel="0" collapsed="false">
      <c r="A39" s="2" t="n">
        <v>36</v>
      </c>
      <c r="B39" s="11" t="n">
        <f aca="false">SUMIFS(transactions_view!$F$2:$F$548,transactions_view!$C$2:$C$548,A39,transactions_view!$H$2:$H$548,"captured")</f>
        <v>11535</v>
      </c>
      <c r="C39" s="2" t="n">
        <f aca="false">COUNTIFS(transactions_view!$C$2:$C$548,A39,transactions_view!$H$2:$H$548,"captured")</f>
        <v>15</v>
      </c>
      <c r="D39" s="11" t="n">
        <f aca="false">SUMIFS(transactions_view!$F$2:$F$548,transactions_view!$C$2:$C$548,A39,transactions_view!$H$2:$H$548,"failed")</f>
        <v>0</v>
      </c>
      <c r="E39" s="2" t="n">
        <f aca="false">COUNTIFS(transactions_view!$C$2:$C$548,A39,transactions_view!$H$2:$H$548,"failed")</f>
        <v>0</v>
      </c>
      <c r="F39" s="11" t="n">
        <f aca="false">SUMIFS(transactions_view!$F$2:$F$548,transactions_view!$C$2:$C$548,A39,transactions_view!$H$2:$H$548,"chargeback")</f>
        <v>999</v>
      </c>
      <c r="G39" s="2" t="n">
        <f aca="false">COUNTIFS(transactions_view!$C$2:$C$548,A39,transactions_view!$H$2:$H$548,"chargeback")</f>
        <v>1</v>
      </c>
      <c r="H39" s="11" t="n">
        <f aca="false">B39+D39+F39</f>
        <v>12534</v>
      </c>
      <c r="I39" s="2" t="n">
        <f aca="false">C39+E39+G39</f>
        <v>16</v>
      </c>
    </row>
    <row r="40" customFormat="false" ht="15" hidden="false" customHeight="false" outlineLevel="0" collapsed="false">
      <c r="A40" s="2" t="n">
        <v>37</v>
      </c>
      <c r="B40" s="11" t="n">
        <f aca="false">SUMIFS(transactions_view!$F$2:$F$548,transactions_view!$C$2:$C$548,A40,transactions_view!$H$2:$H$548,"captured")</f>
        <v>10833</v>
      </c>
      <c r="C40" s="2" t="n">
        <f aca="false">COUNTIFS(transactions_view!$C$2:$C$548,A40,transactions_view!$H$2:$H$548,"captured")</f>
        <v>17</v>
      </c>
      <c r="D40" s="11" t="n">
        <f aca="false">SUMIFS(transactions_view!$F$2:$F$548,transactions_view!$C$2:$C$548,A40,transactions_view!$H$2:$H$548,"failed")</f>
        <v>99</v>
      </c>
      <c r="E40" s="2" t="n">
        <f aca="false">COUNTIFS(transactions_view!$C$2:$C$548,A40,transactions_view!$H$2:$H$548,"failed")</f>
        <v>1</v>
      </c>
      <c r="F40" s="11" t="n">
        <f aca="false">SUMIFS(transactions_view!$F$2:$F$548,transactions_view!$C$2:$C$548,A40,transactions_view!$H$2:$H$548,"chargeback")</f>
        <v>1999</v>
      </c>
      <c r="G40" s="2" t="n">
        <f aca="false">COUNTIFS(transactions_view!$C$2:$C$548,A40,transactions_view!$H$2:$H$548,"chargeback")</f>
        <v>1</v>
      </c>
      <c r="H40" s="11" t="n">
        <f aca="false">B40+D40+F40</f>
        <v>12931</v>
      </c>
      <c r="I40" s="2" t="n">
        <f aca="false">C40+E40+G40</f>
        <v>19</v>
      </c>
    </row>
    <row r="41" customFormat="false" ht="15" hidden="false" customHeight="false" outlineLevel="0" collapsed="false">
      <c r="A41" s="2" t="n">
        <v>38</v>
      </c>
      <c r="B41" s="11" t="n">
        <f aca="false">SUMIFS(transactions_view!$F$2:$F$548,transactions_view!$C$2:$C$548,A41,transactions_view!$H$2:$H$548,"captured")</f>
        <v>3342</v>
      </c>
      <c r="C41" s="2" t="n">
        <f aca="false">COUNTIFS(transactions_view!$C$2:$C$548,A41,transactions_view!$H$2:$H$548,"captured")</f>
        <v>8</v>
      </c>
      <c r="D41" s="11" t="n">
        <f aca="false">SUMIFS(transactions_view!$F$2:$F$548,transactions_view!$C$2:$C$548,A41,transactions_view!$H$2:$H$548,"failed")</f>
        <v>598</v>
      </c>
      <c r="E41" s="2" t="n">
        <f aca="false">COUNTIFS(transactions_view!$C$2:$C$548,A41,transactions_view!$H$2:$H$548,"failed")</f>
        <v>2</v>
      </c>
      <c r="F41" s="11" t="n">
        <f aca="false">SUMIFS(transactions_view!$F$2:$F$548,transactions_view!$C$2:$C$548,A41,transactions_view!$H$2:$H$548,"chargeback")</f>
        <v>0</v>
      </c>
      <c r="G41" s="2" t="n">
        <f aca="false">COUNTIFS(transactions_view!$C$2:$C$548,A41,transactions_view!$H$2:$H$548,"chargeback")</f>
        <v>0</v>
      </c>
      <c r="H41" s="11" t="n">
        <f aca="false">B41+D41+F41</f>
        <v>3940</v>
      </c>
      <c r="I41" s="2" t="n">
        <f aca="false">C41+E41+G41</f>
        <v>10</v>
      </c>
    </row>
    <row r="42" customFormat="false" ht="15" hidden="false" customHeight="false" outlineLevel="0" collapsed="false">
      <c r="A42" s="2" t="n">
        <v>39</v>
      </c>
      <c r="B42" s="11" t="n">
        <f aca="false">SUMIFS(transactions_view!$F$2:$F$548,transactions_view!$C$2:$C$548,A42,transactions_view!$H$2:$H$548,"captured")</f>
        <v>11291</v>
      </c>
      <c r="C42" s="2" t="n">
        <f aca="false">COUNTIFS(transactions_view!$C$2:$C$548,A42,transactions_view!$H$2:$H$548,"captured")</f>
        <v>9</v>
      </c>
      <c r="D42" s="11" t="n">
        <f aca="false">SUMIFS(transactions_view!$F$2:$F$548,transactions_view!$C$2:$C$548,A42,transactions_view!$H$2:$H$548,"failed")</f>
        <v>399</v>
      </c>
      <c r="E42" s="2" t="n">
        <f aca="false">COUNTIFS(transactions_view!$C$2:$C$548,A42,transactions_view!$H$2:$H$548,"failed")</f>
        <v>1</v>
      </c>
      <c r="F42" s="11" t="n">
        <f aca="false">SUMIFS(transactions_view!$F$2:$F$548,transactions_view!$C$2:$C$548,A42,transactions_view!$H$2:$H$548,"chargeback")</f>
        <v>10997</v>
      </c>
      <c r="G42" s="2" t="n">
        <f aca="false">COUNTIFS(transactions_view!$C$2:$C$548,A42,transactions_view!$H$2:$H$548,"chargeback")</f>
        <v>3</v>
      </c>
      <c r="H42" s="11" t="n">
        <f aca="false">B42+D42+F42</f>
        <v>22687</v>
      </c>
      <c r="I42" s="2" t="n">
        <f aca="false">C42+E42+G42</f>
        <v>13</v>
      </c>
    </row>
    <row r="43" customFormat="false" ht="15" hidden="false" customHeight="false" outlineLevel="0" collapsed="false">
      <c r="A43" s="2" t="n">
        <v>40</v>
      </c>
      <c r="B43" s="11" t="n">
        <f aca="false">SUMIFS(transactions_view!$F$2:$F$548,transactions_view!$C$2:$C$548,A43,transactions_view!$H$2:$H$548,"captured")</f>
        <v>3039</v>
      </c>
      <c r="C43" s="2" t="n">
        <f aca="false">COUNTIFS(transactions_view!$C$2:$C$548,A43,transactions_view!$H$2:$H$548,"captured")</f>
        <v>11</v>
      </c>
      <c r="D43" s="11" t="n">
        <f aca="false">SUMIFS(transactions_view!$F$2:$F$548,transactions_view!$C$2:$C$548,A43,transactions_view!$H$2:$H$548,"failed")</f>
        <v>548</v>
      </c>
      <c r="E43" s="2" t="n">
        <f aca="false">COUNTIFS(transactions_view!$C$2:$C$548,A43,transactions_view!$H$2:$H$548,"failed")</f>
        <v>2</v>
      </c>
      <c r="F43" s="11" t="n">
        <f aca="false">SUMIFS(transactions_view!$F$2:$F$548,transactions_view!$C$2:$C$548,A43,transactions_view!$H$2:$H$548,"chargeback")</f>
        <v>5148</v>
      </c>
      <c r="G43" s="2" t="n">
        <f aca="false">COUNTIFS(transactions_view!$C$2:$C$548,A43,transactions_view!$H$2:$H$548,"chargeback")</f>
        <v>2</v>
      </c>
      <c r="H43" s="11" t="n">
        <f aca="false">B43+D43+F43</f>
        <v>8735</v>
      </c>
      <c r="I43" s="2" t="n">
        <f aca="false">C43+E43+G43</f>
        <v>15</v>
      </c>
    </row>
    <row r="45" customFormat="false" ht="15" hidden="false" customHeight="false" outlineLevel="0" collapsed="false">
      <c r="A45" s="5" t="s">
        <v>640</v>
      </c>
    </row>
    <row r="46" customFormat="false" ht="15" hidden="false" customHeight="false" outlineLevel="0" collapsed="false">
      <c r="A46" s="1" t="s">
        <v>0</v>
      </c>
      <c r="B46" s="1" t="s">
        <v>641</v>
      </c>
      <c r="C46" s="1" t="s">
        <v>642</v>
      </c>
    </row>
    <row r="47" customFormat="false" ht="15" hidden="false" customHeight="false" outlineLevel="0" collapsed="false">
      <c r="A47" s="2" t="n">
        <v>1</v>
      </c>
      <c r="B47" s="2" t="n">
        <f aca="false">COUNTIF(transactions_view!$C$2:$C$548,A47)</f>
        <v>9</v>
      </c>
      <c r="C47" s="2" t="n">
        <f aca="false">SUMPRODUCT((transactions_view!$C$2:$C$548=A47)/COUNTIFS(transactions_view!$C$2:$C$548,transactions_view!$C$2:$C$548,transactions_view!$E$2:$E$548,transactions_view!$E$2:$E$548))</f>
        <v>7</v>
      </c>
    </row>
    <row r="48" customFormat="false" ht="15" hidden="false" customHeight="false" outlineLevel="0" collapsed="false">
      <c r="A48" s="2" t="n">
        <v>2</v>
      </c>
      <c r="B48" s="2" t="n">
        <f aca="false">COUNTIF(transactions_view!$C$2:$C$548,A48)</f>
        <v>10</v>
      </c>
      <c r="C48" s="2" t="n">
        <f aca="false">SUMPRODUCT((transactions_view!$C$2:$C$548=A48)/COUNTIFS(transactions_view!$C$2:$C$548,transactions_view!$C$2:$C$548,transactions_view!$E$2:$E$548,transactions_view!$E$2:$E$548))</f>
        <v>9</v>
      </c>
    </row>
    <row r="49" customFormat="false" ht="15" hidden="false" customHeight="false" outlineLevel="0" collapsed="false">
      <c r="A49" s="2" t="n">
        <v>3</v>
      </c>
      <c r="B49" s="2" t="n">
        <f aca="false">COUNTIF(transactions_view!$C$2:$C$548,A49)</f>
        <v>17</v>
      </c>
      <c r="C49" s="2" t="n">
        <f aca="false">SUMPRODUCT((transactions_view!$C$2:$C$548=A49)/COUNTIFS(transactions_view!$C$2:$C$548,transactions_view!$C$2:$C$548,transactions_view!$E$2:$E$548,transactions_view!$E$2:$E$548))</f>
        <v>13</v>
      </c>
    </row>
    <row r="50" customFormat="false" ht="15" hidden="false" customHeight="false" outlineLevel="0" collapsed="false">
      <c r="A50" s="2" t="n">
        <v>4</v>
      </c>
      <c r="B50" s="2" t="n">
        <f aca="false">COUNTIF(transactions_view!$C$2:$C$548,A50)</f>
        <v>9</v>
      </c>
      <c r="C50" s="2" t="n">
        <f aca="false">SUMPRODUCT((transactions_view!$C$2:$C$548=A50)/COUNTIFS(transactions_view!$C$2:$C$548,transactions_view!$C$2:$C$548,transactions_view!$E$2:$E$548,transactions_view!$E$2:$E$548))</f>
        <v>7</v>
      </c>
    </row>
    <row r="51" customFormat="false" ht="15" hidden="false" customHeight="false" outlineLevel="0" collapsed="false">
      <c r="A51" s="2" t="n">
        <v>5</v>
      </c>
      <c r="B51" s="2" t="n">
        <f aca="false">COUNTIF(transactions_view!$C$2:$C$548,A51)</f>
        <v>11</v>
      </c>
      <c r="C51" s="2" t="n">
        <f aca="false">SUMPRODUCT((transactions_view!$C$2:$C$548=A51)/COUNTIFS(transactions_view!$C$2:$C$548,transactions_view!$C$2:$C$548,transactions_view!$E$2:$E$548,transactions_view!$E$2:$E$548))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2" t="s">
        <v>643</v>
      </c>
    </row>
    <row r="3" customFormat="false" ht="15" hidden="false" customHeight="false" outlineLevel="0" collapsed="false">
      <c r="A3" s="5" t="s">
        <v>644</v>
      </c>
    </row>
    <row r="4" customFormat="false" ht="60" hidden="false" customHeight="true" outlineLevel="0" collapsed="false">
      <c r="A4" s="13" t="s">
        <v>645</v>
      </c>
    </row>
    <row r="6" customFormat="false" ht="15" hidden="false" customHeight="false" outlineLevel="0" collapsed="false">
      <c r="A6" s="5" t="s">
        <v>646</v>
      </c>
    </row>
    <row r="7" customFormat="false" ht="60" hidden="false" customHeight="true" outlineLevel="0" collapsed="false">
      <c r="A7" s="13" t="s">
        <v>647</v>
      </c>
    </row>
    <row r="9" customFormat="false" ht="15" hidden="false" customHeight="false" outlineLevel="0" collapsed="false">
      <c r="A9" s="5" t="s">
        <v>648</v>
      </c>
    </row>
    <row r="10" customFormat="false" ht="60" hidden="false" customHeight="true" outlineLevel="0" collapsed="false">
      <c r="A10" s="13" t="s">
        <v>649</v>
      </c>
    </row>
    <row r="12" customFormat="false" ht="15" hidden="false" customHeight="false" outlineLevel="0" collapsed="false">
      <c r="A12" s="5" t="s">
        <v>650</v>
      </c>
    </row>
    <row r="13" customFormat="false" ht="60" hidden="false" customHeight="true" outlineLevel="0" collapsed="false">
      <c r="A13" s="13" t="s">
        <v>651</v>
      </c>
    </row>
    <row r="15" customFormat="false" ht="15" hidden="false" customHeight="false" outlineLevel="0" collapsed="false">
      <c r="A15" s="5" t="s">
        <v>652</v>
      </c>
    </row>
    <row r="16" customFormat="false" ht="60" hidden="false" customHeight="true" outlineLevel="0" collapsed="false">
      <c r="A16" s="13" t="s">
        <v>653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2026-08-31T09:41:57Z</dcterms:created>
  <dc:creator>openpyxl</dc:creator>
  <dc:description/>
  <dc:language>en-US</dc:language>
  <cp:lastModifiedBy/>
  <dcterms:modified xsi:type="dcterms:W3CDTF">2026-08-31T09:41:57Z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